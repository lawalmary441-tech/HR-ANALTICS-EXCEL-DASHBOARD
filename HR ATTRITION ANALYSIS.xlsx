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Lawal\Desktop\"/>
    </mc:Choice>
  </mc:AlternateContent>
  <xr:revisionPtr revIDLastSave="0" documentId="13_ncr:1_{E107EE0C-E609-490C-AF2B-56EE8ABEB6BB}" xr6:coauthVersionLast="36" xr6:coauthVersionMax="36" xr10:uidLastSave="{00000000-0000-0000-0000-000000000000}"/>
  <bookViews>
    <workbookView xWindow="0" yWindow="0" windowWidth="17256" windowHeight="5556" tabRatio="828" activeTab="1" xr2:uid="{8751F7C1-E476-4637-9757-FBBAEB9CB1F8}"/>
  </bookViews>
  <sheets>
    <sheet name="kPI" sheetId="3" r:id="rId1"/>
    <sheet name="Dashboard" sheetId="4" r:id="rId2"/>
    <sheet name="Rating" sheetId="5" r:id="rId3"/>
    <sheet name="Gender" sheetId="7" r:id="rId4"/>
    <sheet name="Education by attrition" sheetId="8" r:id="rId5"/>
    <sheet name="Attrtion by Job" sheetId="9" r:id="rId6"/>
    <sheet name="Department wise Attrtion" sheetId="10" r:id="rId7"/>
    <sheet name="Attrtion by Age group" sheetId="11" r:id="rId8"/>
    <sheet name="Marital Status" sheetId="12" r:id="rId9"/>
    <sheet name="Data" sheetId="1" r:id="rId10"/>
  </sheets>
  <definedNames>
    <definedName name="_xlchart.v1.3" hidden="1">'Attrtion by Job'!$D$4:$D$12</definedName>
    <definedName name="_xlchart.v1.4" hidden="1">'Attrtion by Job'!$E$4:$E$12</definedName>
    <definedName name="_xlchart.v1.5" hidden="1">'Attrtion by Job'!$D$4:$D$12</definedName>
    <definedName name="_xlchart.v1.6" hidden="1">'Attrtion by Job'!$E$4:$E$12</definedName>
    <definedName name="_xlchart.v2.0" hidden="1">'Marital Status'!$D$4:$D$6</definedName>
    <definedName name="_xlchart.v2.1" hidden="1">'Marital Status'!$E$3</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12" l="1"/>
  <c r="D5" i="12"/>
  <c r="D4" i="12"/>
  <c r="E5" i="12"/>
  <c r="E6" i="12"/>
  <c r="E4" i="12"/>
  <c r="E5" i="9"/>
  <c r="E7" i="9"/>
  <c r="E9" i="9"/>
  <c r="E11" i="9"/>
  <c r="E6" i="9"/>
  <c r="E8" i="9"/>
  <c r="E10" i="9"/>
  <c r="E12" i="9"/>
  <c r="E4" i="9"/>
  <c r="D5" i="9"/>
  <c r="D6" i="9"/>
  <c r="D7" i="9"/>
  <c r="D8" i="9"/>
  <c r="D9" i="9"/>
  <c r="D10" i="9"/>
  <c r="D11" i="9"/>
  <c r="D12" i="9"/>
  <c r="D4" i="9"/>
  <c r="C7" i="3"/>
  <c r="A7" i="3"/>
  <c r="B6" i="5"/>
  <c r="B7" i="5"/>
  <c r="B7" i="3"/>
  <c r="B9" i="7"/>
  <c r="B10" i="7"/>
  <c r="C10" i="7" l="1"/>
  <c r="C9" i="7"/>
  <c r="C6" i="5"/>
  <c r="C7" i="5"/>
  <c r="D7" i="3"/>
  <c r="E7" i="3"/>
</calcChain>
</file>

<file path=xl/sharedStrings.xml><?xml version="1.0" encoding="utf-8"?>
<sst xmlns="http://schemas.openxmlformats.org/spreadsheetml/2006/main" count="19218" uniqueCount="1571">
  <si>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</si>
  <si>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</si>
  <si>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</si>
  <si>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</si>
  <si>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</si>
  <si>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</si>
  <si>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</si>
  <si>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</si>
  <si>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</si>
  <si>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</si>
  <si>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</si>
  <si>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</si>
  <si>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</si>
  <si>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</si>
  <si>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</si>
  <si>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</si>
  <si>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</si>
  <si>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</si>
  <si>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</si>
  <si>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</si>
  <si>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</si>
  <si>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</si>
  <si>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</si>
  <si>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</si>
  <si>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</si>
  <si>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</si>
  <si>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</si>
  <si>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</si>
  <si>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</si>
  <si>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</si>
  <si>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</si>
  <si>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</si>
  <si>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</si>
  <si>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</si>
  <si>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</si>
  <si>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</si>
  <si>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</si>
  <si>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</si>
  <si>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</si>
  <si>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</si>
  <si>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</si>
  <si>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</si>
  <si>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</si>
  <si>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</si>
  <si>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</si>
  <si>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</si>
  <si>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</si>
  <si>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</si>
  <si>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</si>
  <si>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</si>
  <si>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</si>
  <si>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</si>
  <si>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</si>
  <si>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</si>
  <si>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</si>
  <si>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</si>
  <si>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</si>
  <si>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</si>
  <si>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</si>
  <si>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</si>
  <si>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</si>
  <si>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</si>
  <si>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</si>
  <si>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</si>
  <si>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</si>
  <si>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</si>
  <si>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</si>
  <si>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</si>
  <si>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</si>
  <si>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</si>
  <si>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</si>
  <si>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</si>
  <si>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</si>
  <si>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</si>
  <si>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</si>
  <si>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</si>
  <si>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</si>
  <si>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</si>
  <si>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</si>
  <si>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</si>
  <si>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</si>
  <si>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</si>
  <si>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</si>
  <si>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</si>
  <si>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</si>
  <si>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</si>
  <si>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</si>
  <si>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</si>
  <si>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</si>
  <si>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</si>
  <si>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</si>
  <si>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</si>
  <si>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</si>
  <si>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</si>
  <si>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</si>
  <si>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</si>
  <si>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</si>
  <si>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</si>
  <si>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</si>
  <si>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</si>
  <si>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</si>
  <si>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</si>
  <si>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</si>
  <si>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</si>
  <si>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</si>
  <si>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</si>
  <si>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</si>
  <si>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</si>
  <si>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</si>
  <si>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</si>
  <si>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</si>
  <si>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</si>
  <si>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</si>
  <si>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</si>
  <si>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</si>
  <si>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</si>
  <si>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</si>
  <si>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</si>
  <si>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</si>
  <si>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</si>
  <si>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</si>
  <si>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</si>
  <si>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</si>
  <si>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</si>
  <si>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</si>
  <si>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</si>
  <si>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</si>
  <si>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</si>
  <si>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</si>
  <si>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</si>
  <si>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</si>
  <si>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</si>
  <si>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</si>
  <si>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</si>
  <si>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</si>
  <si>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</si>
  <si>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</si>
  <si>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</si>
  <si>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</si>
  <si>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</si>
  <si>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</si>
  <si>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</si>
  <si>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</si>
  <si>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</si>
  <si>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</si>
  <si>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</si>
  <si>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</si>
  <si>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</si>
  <si>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</si>
  <si>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</si>
  <si>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</si>
  <si>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</si>
  <si>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</si>
  <si>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</si>
  <si>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</si>
  <si>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</si>
  <si>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</si>
  <si>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</si>
  <si>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</si>
  <si>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</si>
  <si>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</si>
  <si>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</si>
  <si>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</si>
  <si>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</si>
  <si>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</si>
  <si>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</si>
  <si>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</si>
  <si>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</si>
  <si>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</si>
  <si>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</si>
  <si>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</si>
  <si>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</si>
  <si>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</si>
  <si>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</si>
  <si>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</si>
  <si>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</si>
  <si>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</si>
  <si>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</si>
  <si>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</si>
  <si>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</si>
  <si>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</si>
  <si>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</si>
  <si>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</si>
  <si>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</si>
  <si>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</si>
  <si>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</si>
  <si>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</si>
  <si>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</si>
  <si>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</si>
  <si>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</si>
  <si>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</si>
  <si>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</si>
  <si>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</si>
  <si>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</si>
  <si>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</si>
  <si>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</si>
  <si>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</si>
  <si>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</si>
  <si>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</si>
  <si>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</si>
  <si>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</si>
  <si>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</si>
  <si>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</si>
  <si>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</si>
  <si>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</si>
  <si>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</si>
  <si>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</si>
  <si>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</si>
  <si>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</si>
  <si>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</si>
  <si>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</si>
  <si>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</si>
  <si>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</si>
  <si>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</si>
  <si>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</si>
  <si>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</si>
  <si>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</si>
  <si>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</si>
  <si>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</si>
  <si>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</si>
  <si>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</si>
  <si>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</si>
  <si>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</si>
  <si>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</si>
  <si>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</si>
  <si>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</si>
  <si>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</si>
  <si>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</si>
  <si>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</si>
  <si>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</si>
  <si>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</si>
  <si>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</si>
  <si>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</si>
  <si>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</si>
  <si>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</si>
  <si>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</si>
  <si>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</si>
  <si>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</si>
  <si>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</si>
  <si>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</si>
  <si>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</si>
  <si>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</si>
  <si>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</si>
  <si>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</si>
  <si>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</si>
  <si>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</si>
  <si>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</si>
  <si>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</si>
  <si>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</si>
  <si>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</si>
  <si>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</si>
  <si>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</si>
  <si>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</si>
  <si>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</si>
  <si>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</si>
  <si>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</si>
  <si>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</si>
  <si>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</si>
  <si>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</si>
  <si>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</si>
  <si>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</si>
  <si>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</si>
  <si>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</si>
  <si>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</si>
  <si>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</si>
  <si>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</si>
  <si>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</si>
  <si>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</si>
  <si>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</si>
  <si>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</si>
  <si>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</si>
  <si>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</si>
  <si>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</si>
  <si>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</si>
  <si>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</si>
  <si>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</si>
  <si>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</si>
  <si>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</si>
  <si>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</si>
  <si>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</si>
  <si>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</si>
  <si>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</si>
  <si>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</si>
  <si>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</si>
  <si>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</si>
  <si>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</si>
  <si>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</si>
  <si>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</si>
  <si>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</si>
  <si>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</si>
  <si>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</si>
  <si>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</si>
  <si>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</si>
  <si>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</si>
  <si>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</si>
  <si>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</si>
  <si>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</si>
  <si>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</si>
  <si>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</si>
  <si>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</si>
  <si>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</si>
  <si>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</si>
  <si>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</si>
  <si>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</si>
  <si>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</si>
  <si>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</si>
  <si>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</si>
  <si>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</si>
  <si>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</si>
  <si>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</si>
  <si>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</si>
  <si>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</si>
  <si>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</si>
  <si>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</si>
  <si>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</si>
  <si>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</si>
  <si>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</si>
  <si>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</si>
  <si>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</si>
  <si>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</si>
  <si>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</si>
  <si>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</si>
  <si>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</si>
  <si>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</si>
  <si>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</si>
  <si>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</si>
  <si>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</si>
  <si>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</si>
  <si>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</si>
  <si>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</si>
  <si>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</si>
  <si>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</si>
  <si>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</si>
  <si>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</si>
  <si>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</si>
  <si>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</si>
  <si>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</si>
  <si>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</si>
  <si>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</si>
  <si>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</si>
  <si>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</si>
  <si>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</si>
  <si>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</si>
  <si>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</si>
  <si>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</si>
  <si>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</si>
  <si>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</si>
  <si>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</si>
  <si>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</si>
  <si>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</si>
  <si>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</si>
  <si>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</si>
  <si>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</si>
  <si>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</si>
  <si>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</si>
  <si>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</si>
  <si>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</si>
  <si>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</si>
  <si>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</si>
  <si>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</si>
  <si>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</si>
  <si>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</si>
  <si>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</si>
  <si>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</si>
  <si>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</si>
  <si>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</si>
  <si>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</si>
  <si>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</si>
  <si>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</si>
  <si>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</si>
  <si>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</si>
  <si>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</si>
  <si>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</si>
  <si>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</si>
  <si>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</si>
  <si>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</si>
  <si>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</si>
  <si>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</si>
  <si>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</si>
  <si>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</si>
  <si>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</si>
  <si>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</si>
  <si>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</si>
  <si>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</si>
  <si>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</si>
  <si>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</si>
  <si>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</si>
  <si>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</si>
  <si>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</si>
  <si>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</si>
  <si>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</si>
  <si>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</si>
  <si>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</si>
  <si>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</si>
  <si>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</si>
  <si>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</si>
  <si>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</si>
  <si>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</si>
  <si>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</si>
  <si>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</si>
  <si>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</si>
  <si>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</si>
  <si>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</si>
  <si>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</si>
  <si>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</si>
  <si>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</si>
  <si>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</si>
  <si>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</si>
  <si>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</si>
  <si>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</si>
  <si>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</si>
  <si>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</si>
  <si>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</si>
  <si>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</si>
  <si>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</si>
  <si>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</si>
  <si>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</si>
  <si>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</si>
  <si>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</si>
  <si>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</si>
  <si>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</si>
  <si>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</si>
  <si>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</si>
  <si>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</si>
  <si>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</si>
  <si>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</si>
  <si>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</si>
  <si>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</si>
  <si>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</si>
  <si>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</si>
  <si>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</si>
  <si>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</si>
  <si>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</si>
  <si>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</si>
  <si>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</si>
  <si>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</si>
  <si>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</si>
  <si>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</si>
  <si>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</si>
  <si>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</si>
  <si>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</si>
  <si>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</si>
  <si>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</si>
  <si>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</si>
  <si>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</si>
  <si>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</si>
  <si>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</si>
  <si>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</si>
  <si>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</si>
  <si>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</si>
  <si>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</si>
  <si>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</si>
  <si>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</si>
  <si>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</si>
  <si>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</si>
  <si>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</si>
  <si>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</si>
  <si>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</si>
  <si>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</si>
  <si>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</si>
  <si>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</si>
  <si>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</si>
  <si>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</si>
  <si>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</si>
  <si>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</si>
  <si>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</si>
  <si>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</si>
  <si>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</si>
  <si>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</si>
  <si>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</si>
  <si>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</si>
  <si>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</si>
  <si>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</si>
  <si>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</si>
  <si>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</si>
  <si>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</si>
  <si>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</si>
  <si>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</si>
  <si>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</si>
  <si>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</si>
  <si>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</si>
  <si>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</si>
  <si>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</si>
  <si>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</si>
  <si>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</si>
  <si>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</si>
  <si>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</si>
  <si>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</si>
  <si>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</si>
  <si>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</si>
  <si>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</si>
  <si>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</si>
  <si>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</si>
  <si>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</si>
  <si>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</si>
  <si>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</si>
  <si>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</si>
  <si>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</si>
  <si>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</si>
  <si>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</si>
  <si>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</si>
  <si>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</si>
  <si>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</si>
  <si>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</si>
  <si>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</si>
  <si>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</si>
  <si>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</si>
  <si>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</si>
  <si>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</si>
  <si>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</si>
  <si>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</si>
  <si>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</si>
  <si>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</si>
  <si>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</si>
  <si>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</si>
  <si>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</si>
  <si>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</si>
  <si>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</si>
  <si>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</si>
  <si>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</si>
  <si>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</si>
  <si>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</si>
  <si>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</si>
  <si>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</si>
  <si>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</si>
  <si>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</si>
  <si>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</si>
  <si>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</si>
  <si>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</si>
  <si>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</si>
  <si>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</si>
  <si>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</si>
  <si>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</si>
  <si>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</si>
  <si>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</si>
  <si>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</si>
  <si>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</si>
  <si>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</si>
  <si>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</si>
  <si>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</si>
  <si>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</si>
  <si>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</si>
  <si>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</si>
  <si>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</si>
  <si>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</si>
  <si>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</si>
  <si>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</si>
  <si>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</si>
  <si>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</si>
  <si>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</si>
  <si>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</si>
  <si>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</si>
  <si>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</si>
  <si>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</si>
  <si>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</si>
  <si>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</si>
  <si>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</si>
  <si>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</si>
  <si>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</si>
  <si>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</si>
  <si>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</si>
  <si>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</si>
  <si>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</si>
  <si>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</si>
  <si>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</si>
  <si>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</si>
  <si>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</si>
  <si>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</si>
  <si>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</si>
  <si>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</si>
  <si>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</si>
  <si>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</si>
  <si>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</si>
  <si>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</si>
  <si>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</si>
  <si>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</si>
  <si>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</si>
  <si>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</si>
  <si>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</si>
  <si>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</si>
  <si>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</si>
  <si>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</si>
  <si>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</si>
  <si>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</si>
  <si>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</si>
  <si>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</si>
  <si>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</si>
  <si>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</si>
  <si>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</si>
  <si>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</si>
  <si>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</si>
  <si>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</si>
  <si>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</si>
  <si>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</si>
  <si>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</si>
  <si>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</si>
  <si>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</si>
  <si>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</si>
  <si>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</si>
  <si>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</si>
  <si>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</si>
  <si>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</si>
  <si>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</si>
  <si>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</si>
  <si>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</si>
  <si>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</si>
  <si>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</si>
  <si>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</si>
  <si>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</si>
  <si>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</si>
  <si>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</si>
  <si>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</si>
  <si>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</si>
  <si>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</si>
  <si>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</si>
  <si>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</si>
  <si>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</si>
  <si>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</si>
  <si>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</si>
  <si>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</si>
  <si>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</si>
  <si>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</si>
  <si>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</si>
  <si>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</si>
  <si>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</si>
  <si>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</si>
  <si>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</si>
  <si>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</si>
  <si>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</si>
  <si>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</si>
  <si>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</si>
  <si>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</si>
  <si>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</si>
  <si>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</si>
  <si>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</si>
  <si>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</si>
  <si>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</si>
  <si>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</si>
  <si>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</si>
  <si>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</si>
  <si>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</si>
  <si>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</si>
  <si>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</si>
  <si>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</si>
  <si>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</si>
  <si>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</si>
  <si>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</si>
  <si>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</si>
  <si>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</si>
  <si>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</si>
  <si>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</si>
  <si>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</si>
  <si>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</si>
  <si>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</si>
  <si>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</si>
  <si>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</si>
  <si>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</si>
  <si>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</si>
  <si>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</si>
  <si>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</si>
  <si>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</si>
  <si>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</si>
  <si>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</si>
  <si>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</si>
  <si>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</si>
  <si>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</si>
  <si>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</si>
  <si>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</si>
  <si>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</si>
  <si>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</si>
  <si>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</si>
  <si>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</si>
  <si>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</si>
  <si>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</si>
  <si>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</si>
  <si>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</si>
  <si>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</si>
  <si>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</si>
  <si>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</si>
  <si>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</si>
  <si>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</si>
  <si>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</si>
  <si>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</si>
  <si>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</si>
  <si>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</si>
  <si>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</si>
  <si>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</si>
  <si>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</si>
  <si>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</si>
  <si>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</si>
  <si>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</si>
  <si>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</si>
  <si>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</si>
  <si>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</si>
  <si>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</si>
  <si>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</si>
  <si>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</si>
  <si>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</si>
  <si>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</si>
  <si>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</si>
  <si>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</si>
  <si>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</si>
  <si>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</si>
  <si>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</si>
  <si>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</si>
  <si>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</si>
  <si>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</si>
  <si>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</si>
  <si>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</si>
  <si>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</si>
  <si>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</si>
  <si>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</si>
  <si>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</si>
  <si>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</si>
  <si>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</si>
  <si>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</si>
  <si>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</si>
  <si>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</si>
  <si>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</si>
  <si>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</si>
  <si>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</si>
  <si>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</si>
  <si>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</si>
  <si>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</si>
  <si>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</si>
  <si>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</si>
  <si>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</si>
  <si>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</si>
  <si>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</si>
  <si>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</si>
  <si>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</si>
  <si>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</si>
  <si>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</si>
  <si>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</si>
  <si>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</si>
  <si>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</si>
  <si>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</si>
  <si>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</si>
  <si>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</si>
  <si>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</si>
  <si>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</si>
  <si>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</si>
  <si>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</si>
  <si>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</si>
  <si>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</si>
  <si>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</si>
  <si>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</si>
  <si>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</si>
  <si>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</si>
  <si>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</si>
  <si>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</si>
  <si>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</si>
  <si>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</si>
  <si>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</si>
  <si>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</si>
  <si>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</si>
  <si>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</si>
  <si>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</si>
  <si>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</si>
  <si>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</si>
  <si>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</si>
  <si>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</si>
  <si>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</si>
  <si>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</si>
  <si>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</si>
  <si>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</si>
  <si>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</si>
  <si>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</si>
  <si>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</si>
  <si>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</si>
  <si>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</si>
  <si>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</si>
  <si>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</si>
  <si>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</si>
  <si>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</si>
  <si>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</si>
  <si>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</si>
  <si>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</si>
  <si>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</si>
  <si>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</si>
  <si>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</si>
  <si>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</si>
  <si>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</si>
  <si>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</si>
  <si>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</si>
  <si>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</si>
  <si>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</si>
  <si>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</si>
  <si>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</si>
  <si>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</si>
  <si>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</si>
  <si>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</si>
  <si>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</si>
  <si>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</si>
  <si>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</si>
  <si>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</si>
  <si>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</si>
  <si>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</si>
  <si>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</si>
  <si>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</si>
  <si>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</si>
  <si>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</si>
  <si>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</si>
  <si>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</si>
  <si>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</si>
  <si>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</si>
  <si>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</si>
  <si>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</si>
  <si>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</si>
  <si>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</si>
  <si>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</si>
  <si>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</si>
  <si>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</si>
  <si>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</si>
  <si>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</si>
  <si>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</si>
  <si>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</si>
  <si>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</si>
  <si>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</si>
  <si>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</si>
  <si>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</si>
  <si>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</si>
  <si>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</si>
  <si>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</si>
  <si>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</si>
  <si>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</si>
  <si>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</si>
  <si>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</si>
  <si>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</si>
  <si>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</si>
  <si>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</si>
  <si>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</si>
  <si>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</si>
  <si>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</si>
  <si>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</si>
  <si>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</si>
  <si>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</si>
  <si>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</si>
  <si>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</si>
  <si>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</si>
  <si>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</si>
  <si>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</si>
  <si>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</si>
  <si>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</si>
  <si>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</si>
  <si>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</si>
  <si>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</si>
  <si>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</si>
  <si>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</si>
  <si>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</si>
  <si>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</si>
  <si>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</si>
  <si>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</si>
  <si>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</si>
  <si>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</si>
  <si>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</si>
  <si>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</si>
  <si>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</si>
  <si>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</si>
  <si>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</si>
  <si>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</si>
  <si>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</si>
  <si>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</si>
  <si>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</si>
  <si>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</si>
  <si>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</si>
  <si>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</si>
  <si>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</si>
  <si>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</si>
  <si>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</si>
  <si>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</si>
  <si>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</si>
  <si>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</si>
  <si>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</si>
  <si>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</si>
  <si>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</si>
  <si>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</si>
  <si>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</si>
  <si>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</si>
  <si>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</si>
  <si>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</si>
  <si>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</si>
  <si>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</si>
  <si>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</si>
  <si>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</si>
  <si>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</si>
  <si>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</si>
  <si>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</si>
  <si>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</si>
  <si>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</si>
  <si>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</si>
  <si>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</si>
  <si>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</si>
  <si>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</si>
  <si>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</si>
  <si>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</si>
  <si>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</si>
  <si>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</si>
  <si>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</si>
  <si>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</si>
  <si>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</si>
  <si>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</si>
  <si>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</si>
  <si>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</si>
  <si>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</si>
  <si>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</si>
  <si>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</si>
  <si>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</si>
  <si>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</si>
  <si>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</si>
  <si>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</si>
  <si>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</si>
  <si>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</si>
  <si>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</si>
  <si>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</si>
  <si>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</si>
  <si>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</si>
  <si>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</si>
  <si>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</si>
  <si>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</si>
  <si>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</si>
  <si>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</si>
  <si>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</si>
  <si>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</si>
  <si>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</si>
  <si>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</si>
  <si>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</si>
  <si>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</si>
  <si>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</si>
  <si>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</si>
  <si>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</si>
  <si>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</si>
  <si>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</si>
  <si>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</si>
  <si>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</si>
  <si>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</si>
  <si>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</si>
  <si>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</si>
  <si>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</si>
  <si>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</si>
  <si>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</si>
  <si>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</si>
  <si>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</si>
  <si>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</si>
  <si>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</si>
  <si>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</si>
  <si>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</si>
  <si>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</si>
  <si>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</si>
  <si>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</si>
  <si>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</si>
  <si>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</si>
  <si>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</si>
  <si>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</si>
  <si>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</si>
  <si>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</si>
  <si>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</si>
  <si>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</si>
  <si>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</si>
  <si>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</si>
  <si>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</si>
  <si>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</si>
  <si>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</si>
  <si>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</si>
  <si>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</si>
  <si>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</si>
  <si>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</si>
  <si>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</si>
  <si>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</si>
  <si>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</si>
  <si>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</si>
  <si>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</si>
  <si>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</si>
  <si>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</si>
  <si>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</si>
  <si>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</si>
  <si>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</si>
  <si>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</si>
  <si>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</si>
  <si>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</si>
  <si>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</si>
  <si>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</si>
  <si>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</si>
  <si>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</si>
  <si>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</si>
  <si>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</si>
  <si>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</si>
  <si>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</si>
  <si>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</si>
  <si>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</si>
  <si>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</si>
  <si>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</si>
  <si>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</si>
  <si>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</si>
  <si>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</si>
  <si>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</si>
  <si>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</si>
  <si>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</si>
  <si>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</si>
  <si>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</si>
  <si>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</si>
  <si>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</si>
  <si>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</si>
  <si>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</si>
  <si>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</si>
  <si>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</si>
  <si>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</si>
  <si>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</si>
  <si>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</si>
  <si>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</si>
  <si>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</si>
  <si>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</si>
  <si>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</si>
  <si>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</si>
  <si>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</si>
  <si>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</si>
  <si>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</si>
  <si>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</si>
  <si>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</si>
  <si>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</si>
  <si>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</si>
  <si>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</si>
  <si>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</si>
  <si>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</si>
  <si>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</si>
  <si>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</si>
  <si>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</si>
  <si>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</si>
  <si>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</si>
  <si>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</si>
  <si>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</si>
  <si>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</si>
  <si>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</si>
  <si>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</si>
  <si>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</si>
  <si>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</si>
  <si>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</si>
  <si>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</si>
  <si>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</si>
  <si>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</si>
  <si>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</si>
  <si>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</si>
  <si>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</si>
  <si>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</si>
  <si>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</si>
  <si>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</si>
  <si>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</si>
  <si>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</si>
  <si>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</si>
  <si>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</si>
  <si>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</si>
  <si>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</si>
  <si>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</si>
  <si>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</si>
  <si>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</si>
  <si>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</si>
  <si>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</si>
  <si>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</si>
  <si>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</si>
  <si>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</si>
  <si>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</si>
  <si>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</si>
  <si>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</si>
  <si>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</si>
  <si>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</si>
  <si>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</si>
  <si>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</si>
  <si>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</si>
  <si>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</si>
  <si>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</si>
  <si>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</si>
  <si>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</si>
  <si>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</si>
  <si>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</si>
  <si>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</si>
  <si>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</si>
  <si>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</si>
  <si>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</si>
  <si>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</si>
  <si>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</si>
  <si>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</si>
  <si>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</si>
  <si>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</si>
  <si>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</si>
  <si>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</si>
  <si>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</si>
  <si>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</si>
  <si>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</si>
  <si>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</si>
  <si>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</si>
  <si>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</si>
  <si>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</si>
  <si>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</si>
  <si>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</si>
  <si>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</si>
  <si>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</si>
  <si>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</si>
  <si>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</si>
  <si>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</si>
  <si>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</si>
  <si>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</si>
  <si>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</si>
  <si>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</si>
  <si>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</si>
  <si>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</si>
  <si>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</si>
  <si>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</si>
  <si>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</si>
  <si>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</si>
  <si>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</si>
  <si>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</si>
  <si>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</si>
  <si>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</si>
  <si>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</si>
  <si>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</si>
  <si>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</si>
  <si>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</si>
  <si>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</si>
  <si>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</si>
  <si>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</si>
  <si>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</si>
  <si>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</si>
  <si>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</si>
  <si>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</si>
  <si>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</si>
  <si>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</si>
  <si>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</si>
  <si>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</si>
  <si>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</si>
  <si>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</si>
  <si>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</si>
  <si>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</si>
  <si>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</si>
  <si>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</si>
  <si>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</si>
  <si>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</si>
  <si>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</si>
  <si>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</si>
  <si>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</si>
  <si>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</si>
  <si>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</si>
  <si>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</si>
  <si>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</si>
  <si>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</si>
  <si>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</si>
  <si>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</si>
  <si>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</si>
  <si>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</si>
  <si>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</si>
  <si>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</si>
  <si>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</si>
  <si>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</si>
  <si>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</si>
  <si>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</si>
  <si>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</si>
  <si>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</si>
  <si>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</si>
  <si>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</si>
  <si>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</si>
  <si>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</si>
  <si>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</si>
  <si>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</si>
  <si>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</si>
  <si>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</si>
  <si>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</si>
  <si>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</si>
  <si>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</si>
  <si>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</si>
  <si>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</si>
  <si>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</si>
  <si>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</si>
  <si>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</si>
  <si>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</si>
  <si>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</si>
  <si>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</si>
  <si>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</si>
  <si>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</si>
  <si>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</si>
  <si>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</si>
  <si>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</si>
  <si>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</si>
  <si>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</si>
  <si>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</si>
  <si>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</si>
  <si>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</si>
  <si>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</si>
  <si>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</si>
  <si>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</si>
  <si>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</si>
  <si>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</si>
  <si>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</si>
  <si>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</si>
  <si>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</si>
  <si>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</si>
  <si>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</si>
  <si>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</si>
  <si>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</si>
  <si>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</si>
  <si>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</si>
  <si>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</si>
  <si>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</si>
  <si>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</si>
  <si>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</si>
  <si>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</si>
  <si>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</si>
  <si>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</si>
  <si>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</si>
  <si>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</si>
  <si>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</si>
  <si>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</si>
  <si>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</si>
  <si>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</si>
  <si>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</si>
  <si>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</si>
  <si>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</si>
  <si>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</si>
  <si>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</si>
  <si>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</si>
  <si>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</si>
  <si>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</si>
  <si>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</si>
  <si>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</si>
  <si>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</si>
  <si>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</si>
  <si>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</si>
  <si>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</si>
  <si>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</si>
  <si>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</si>
  <si>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</si>
  <si>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</si>
  <si>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</si>
  <si>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</si>
  <si>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</si>
  <si>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</si>
  <si>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</si>
  <si>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</si>
  <si>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</si>
  <si>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</si>
  <si>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</si>
  <si>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</si>
  <si>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</si>
  <si>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</si>
  <si>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</si>
  <si>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</si>
  <si>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</si>
  <si>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</si>
  <si>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</si>
  <si>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</si>
  <si>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</si>
  <si>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</si>
  <si>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</si>
  <si>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</si>
  <si>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</si>
  <si>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</si>
  <si>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</si>
  <si>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</si>
  <si>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</si>
  <si>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</si>
  <si>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</si>
  <si>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</si>
  <si>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</si>
  <si>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</si>
  <si>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</si>
  <si>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</si>
  <si>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</si>
  <si>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</si>
  <si>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</si>
  <si>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</si>
  <si>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</si>
  <si>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</si>
  <si>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</si>
  <si>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</si>
  <si>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</si>
  <si>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</si>
  <si>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</si>
  <si>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</si>
  <si>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</si>
  <si>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</si>
  <si>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</si>
  <si>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</si>
  <si>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</si>
  <si>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</si>
  <si>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</si>
  <si>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</si>
  <si>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</si>
  <si>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</si>
  <si>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</si>
  <si>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</si>
  <si>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</si>
  <si>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</si>
  <si>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</si>
  <si>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</si>
  <si>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</si>
  <si>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</si>
  <si>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</si>
  <si>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</si>
  <si>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</si>
  <si>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</si>
  <si>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</si>
  <si>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</si>
  <si>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</si>
  <si>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</si>
  <si>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</si>
  <si>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</si>
  <si>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</si>
  <si>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</si>
  <si>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</si>
  <si>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</si>
  <si>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</si>
  <si>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</si>
  <si>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</si>
  <si>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</si>
  <si>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</si>
  <si>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</si>
  <si>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</si>
  <si>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</si>
  <si>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</si>
  <si>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</si>
  <si>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</si>
  <si>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</si>
  <si>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</si>
  <si>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</si>
  <si>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</si>
  <si>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</si>
  <si>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</si>
  <si>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</si>
  <si>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</si>
  <si>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</si>
  <si>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</si>
  <si>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</si>
  <si>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</si>
  <si>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</si>
  <si>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</si>
  <si>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</si>
  <si>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</si>
  <si>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</si>
  <si>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</si>
  <si>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</si>
  <si>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</si>
  <si>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</si>
  <si>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</si>
  <si>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</si>
  <si>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</si>
  <si>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</si>
  <si>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</si>
  <si>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</si>
  <si>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</si>
  <si>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</si>
  <si>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</si>
  <si>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</si>
  <si>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</si>
  <si>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</si>
  <si>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</si>
  <si>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</si>
  <si>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</si>
  <si>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</si>
  <si>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</si>
  <si>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</si>
  <si>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</si>
  <si>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</si>
  <si>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</si>
  <si>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</si>
  <si>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</si>
  <si>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</si>
  <si>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</si>
  <si>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</si>
  <si>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</si>
  <si>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</si>
  <si>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</si>
  <si>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</si>
  <si>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</si>
  <si>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</si>
  <si>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</si>
  <si>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</si>
  <si>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</si>
  <si>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</si>
  <si>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</si>
  <si>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</si>
  <si>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</si>
  <si>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</si>
  <si>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</si>
  <si>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</si>
  <si>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</si>
  <si>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</si>
  <si>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</si>
  <si>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</si>
  <si>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</si>
  <si>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</si>
  <si>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</si>
  <si>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</si>
  <si>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</si>
  <si>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</si>
  <si>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</si>
  <si>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</si>
  <si>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</si>
  <si>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</si>
  <si>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</si>
  <si>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</si>
  <si>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</si>
  <si>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</si>
  <si>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</si>
  <si>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</si>
  <si>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</si>
  <si>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</si>
  <si>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</si>
  <si>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</si>
  <si>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</si>
  <si>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</si>
  <si>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</si>
  <si>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</si>
  <si>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</si>
  <si>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</si>
  <si>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</si>
  <si>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</si>
  <si>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</si>
  <si>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</si>
  <si>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</si>
  <si>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</si>
  <si>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</si>
  <si>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</si>
  <si>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</si>
  <si>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</si>
  <si>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</si>
  <si>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</si>
  <si>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</si>
  <si>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</si>
  <si>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</si>
  <si>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</si>
  <si>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</si>
  <si>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</si>
  <si>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</si>
  <si>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</si>
  <si>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</si>
  <si>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</si>
  <si>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</si>
  <si>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</si>
  <si>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</si>
  <si>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</si>
  <si>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</si>
  <si>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</si>
  <si>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</si>
  <si>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</si>
  <si>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</si>
  <si>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</si>
  <si>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</si>
  <si>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</si>
  <si>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</si>
  <si>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</si>
  <si>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</si>
  <si>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</si>
  <si>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</si>
  <si>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</si>
  <si>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</si>
  <si>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</si>
  <si>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</si>
  <si>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</si>
  <si>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</si>
  <si>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</si>
  <si>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</si>
  <si>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</si>
  <si>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</si>
  <si>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</si>
  <si>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</si>
  <si>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</si>
  <si>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</si>
  <si>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</si>
  <si>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</si>
  <si>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</si>
  <si>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</si>
  <si>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</si>
  <si>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</si>
  <si>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</si>
  <si>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</si>
  <si>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</si>
  <si>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</si>
  <si>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</si>
  <si>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</si>
  <si>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</si>
  <si>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</si>
  <si>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</si>
  <si>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</si>
  <si>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</si>
  <si>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</si>
  <si>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</si>
  <si>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</si>
  <si>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</si>
  <si>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</si>
  <si>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</si>
  <si>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</si>
  <si>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</si>
  <si>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</si>
  <si>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</si>
  <si>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</si>
  <si>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</si>
  <si>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</si>
  <si>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</si>
  <si>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</si>
  <si>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</si>
  <si>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</si>
  <si>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</si>
  <si>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</si>
  <si>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</si>
  <si>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</si>
  <si>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</si>
  <si>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</si>
  <si>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</si>
  <si>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</si>
  <si>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</si>
  <si>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</si>
  <si>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</si>
  <si>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</si>
  <si>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</si>
  <si>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</si>
  <si>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</si>
  <si>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</si>
  <si>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</si>
  <si>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</si>
  <si>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</si>
  <si>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</si>
  <si>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</si>
  <si>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</si>
  <si>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</si>
  <si>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</si>
  <si>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</si>
  <si>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</si>
  <si>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</si>
  <si>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</si>
  <si>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</si>
  <si>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</si>
  <si>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</si>
  <si>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</si>
  <si>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</si>
  <si>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</si>
  <si>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</si>
  <si>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</si>
  <si>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</si>
  <si>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</si>
  <si>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</si>
  <si>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</si>
  <si>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</si>
  <si>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</si>
  <si>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</si>
  <si>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</si>
  <si>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</si>
  <si>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</si>
  <si>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</si>
  <si>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</si>
  <si>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</si>
  <si>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</si>
  <si>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</si>
  <si>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</si>
  <si>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</si>
  <si>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</si>
  <si>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</si>
  <si>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</si>
  <si>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</si>
  <si>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</si>
  <si>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</si>
  <si>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</si>
  <si>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</si>
  <si>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</si>
  <si>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</si>
  <si>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</si>
  <si>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 xml:space="preserve">Rating </t>
  </si>
  <si>
    <t>Balance Rating</t>
  </si>
  <si>
    <t>Row Labels</t>
  </si>
  <si>
    <t>Grand Total</t>
  </si>
  <si>
    <t>Count of Employee Count</t>
  </si>
  <si>
    <t>Attrtion</t>
  </si>
  <si>
    <t>Count of Attrition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</si>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</sst>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font>
      <sz val="11"/>
      <color theme="1"/>
      <name val="Calibri"/>
      <family val="2"/>
      <scheme val="minor"/>
    </font>
    <font>
      <sz val="11"/>
      <color theme="1"/>
      <name val="Calibri"/>
      <family val="2"/>
      <scheme val="minor"/>
    </font>
    <font>
      <sz val="12"/>
      <color indexed="8"/>
      <name val="Calibri"/>
      <charset val="134"/>
    </font>
    <font>
      <b/>
      <sz val="12"/>
      <color indexed="8"/>
      <name val="Calibri"/>
      <family val="2"/>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0" borderId="0" xfId="0" applyNumberFormat="1" applyFont="1" applyFill="1" applyBorder="1" applyAlignment="1" applyProtection="1"/>
    <xf numFmtId="0" fontId="3" fillId="0" borderId="0" xfId="0" applyNumberFormat="1" applyFont="1" applyFill="1" applyBorder="1" applyAlignment="1" applyProtection="1"/>
    <xf numFmtId="0" fontId="0" fillId="0" borderId="0" xfId="0" applyNumberFormat="1"/>
    <xf numFmtId="10" fontId="0" fillId="0" borderId="0" xfId="1" applyNumberFormat="1" applyFont="1"/>
    <xf numFmtId="164" fontId="0" fillId="0" borderId="0" xfId="0" applyNumberFormat="1"/>
    <xf numFmtId="1" fontId="0" fillId="0" borderId="0" xfId="0" applyNumberFormat="1"/>
    <xf numFmtId="0" fontId="0" fillId="2" borderId="0" xfId="0" applyFill="1"/>
    <xf numFmtId="0" fontId="0" fillId="0" borderId="0" xfId="0" applyFont="1" applyAlignment="1"/>
    <xf numFmtId="0" fontId="0" fillId="0" borderId="0" xfId="0" pivotButton="1"/>
    <xf numFmtId="0" fontId="0" fillId="0" borderId="0" xfId="0" applyAlignment="1">
      <alignment horizontal="left"/>
    </xf>
    <xf numFmtId="9" fontId="0" fillId="0" borderId="0" xfId="1" applyFont="1"/>
    <xf numFmtId="10" fontId="0" fillId="0" borderId="0" xfId="0" applyNumberFormat="1"/>
  </cellXfs>
  <cellStyles count="2">
    <cellStyle name="Normal" xfId="0" builtinId="0"/>
    <cellStyle name="Percent" xfId="1" builtinId="5"/>
  </cellStyles>
  <dxfs count="3">
    <dxf>
      <numFmt numFmtId="164" formatCode="0.0"/>
    </dxf>
    <dxf>
      <numFmt numFmtId="164" formatCode="0.0"/>
    </dxf>
    <dxf>
      <numFmt numFmtId="1" formatCode="0"/>
    </dxf>
  </dxfs>
  <tableStyles count="1" defaultTableStyle="TableStyleMedium2" defaultPivotStyle="PivotStyleLight16">
    <tableStyle name="Slicer" pivot="0" table="0" count="3" xr9:uid="{AC61FE87-379E-4909-B1A0-26A162045263}"/>
  </tableStyles>
  <colors>
    <mruColors>
      <color rgb="FF2B6921"/>
      <color rgb="FFD39B95"/>
      <color rgb="FFE3297D"/>
      <color rgb="FF511328"/>
      <color rgb="FF0A0513"/>
    </mruColors>
  </colors>
  <extLst>
    <ext xmlns:x14="http://schemas.microsoft.com/office/spreadsheetml/2009/9/main" uri="{46F421CA-312F-682f-3DD2-61675219B42D}">
      <x14:dxfs count="3">
        <dxf>
          <fill>
            <gradientFill>
              <stop position="0">
                <color rgb="FFC00000"/>
              </stop>
              <stop position="1">
                <color theme="5" tint="0.40000610370189521"/>
              </stop>
            </gradientFill>
          </fill>
        </dxf>
        <dxf>
          <font>
            <b/>
            <i val="0"/>
            <name val="Calibri"/>
            <family val="2"/>
            <scheme val="minor"/>
          </font>
          <fill>
            <gradientFill>
              <stop position="0">
                <color theme="9"/>
              </stop>
              <stop position="1">
                <color theme="9" tint="0.59999389629810485"/>
              </stop>
            </gradientFill>
          </fill>
        </dxf>
        <dxf>
          <fill>
            <gradientFill degree="90">
              <stop position="0">
                <color theme="4" tint="-0.25098422193060094"/>
              </stop>
              <stop position="1">
                <color theme="4"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354189890634748"/>
          <c:y val="0.27709132056530134"/>
          <c:w val="0.41511042892470368"/>
          <c:h val="0.56162045201438116"/>
        </c:manualLayout>
      </c:layout>
      <c:doughnutChart>
        <c:varyColors val="1"/>
        <c:ser>
          <c:idx val="0"/>
          <c:order val="0"/>
          <c:spPr>
            <a:ln>
              <a:solidFill>
                <a:schemeClr val="bg1">
                  <a:lumMod val="95000"/>
                  <a:alpha val="95000"/>
                </a:schemeClr>
              </a:solidFill>
            </a:ln>
          </c:spPr>
          <c:dPt>
            <c:idx val="0"/>
            <c:bubble3D val="0"/>
            <c:spPr>
              <a:gradFill>
                <a:gsLst>
                  <a:gs pos="0">
                    <a:schemeClr val="accent1">
                      <a:lumMod val="75000"/>
                    </a:schemeClr>
                  </a:gs>
                  <a:gs pos="100000">
                    <a:schemeClr val="accent6">
                      <a:lumMod val="75000"/>
                    </a:schemeClr>
                  </a:gs>
                </a:gsLst>
                <a:lin ang="5400000" scaled="1"/>
              </a:gradFill>
              <a:ln w="19050">
                <a:solidFill>
                  <a:schemeClr val="bg1">
                    <a:lumMod val="95000"/>
                    <a:alpha val="95000"/>
                  </a:schemeClr>
                </a:solidFill>
              </a:ln>
              <a:effectLst/>
            </c:spPr>
            <c:extLst>
              <c:ext xmlns:c16="http://schemas.microsoft.com/office/drawing/2014/chart" uri="{C3380CC4-5D6E-409C-BE32-E72D297353CC}">
                <c16:uniqueId val="{00000001-F30D-4584-892E-8DB17BCFCC6A}"/>
              </c:ext>
            </c:extLst>
          </c:dPt>
          <c:dPt>
            <c:idx val="1"/>
            <c:bubble3D val="0"/>
            <c:spPr>
              <a:solidFill>
                <a:schemeClr val="bg1"/>
              </a:solidFill>
              <a:ln w="19050">
                <a:solidFill>
                  <a:schemeClr val="bg1">
                    <a:lumMod val="95000"/>
                    <a:alpha val="95000"/>
                  </a:schemeClr>
                </a:solidFill>
              </a:ln>
              <a:effectLst/>
            </c:spPr>
            <c:extLst>
              <c:ext xmlns:c16="http://schemas.microsoft.com/office/drawing/2014/chart" uri="{C3380CC4-5D6E-409C-BE32-E72D297353CC}">
                <c16:uniqueId val="{00000003-F30D-4584-892E-8DB17BCFCC6A}"/>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F30D-4584-892E-8DB17BCFCC6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7.407407407407407E-2"/>
          <c:w val="0.89971084864391948"/>
          <c:h val="0.8416746864975212"/>
        </c:manualLayout>
      </c:layout>
      <c:barChart>
        <c:barDir val="bar"/>
        <c:grouping val="stacked"/>
        <c:varyColors val="0"/>
        <c:ser>
          <c:idx val="0"/>
          <c:order val="0"/>
          <c:spPr>
            <a:solidFill>
              <a:srgbClr val="C00000"/>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17F1-4C03-A479-C19EA93C9643}"/>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17F1-4C03-A479-C19EA93C9643}"/>
            </c:ext>
          </c:extLst>
        </c:ser>
        <c:dLbls>
          <c:showLegendKey val="0"/>
          <c:showVal val="0"/>
          <c:showCatName val="0"/>
          <c:showSerName val="0"/>
          <c:showPercent val="0"/>
          <c:showBubbleSize val="0"/>
        </c:dLbls>
        <c:gapWidth val="0"/>
        <c:overlap val="100"/>
        <c:axId val="1129623648"/>
        <c:axId val="1139932960"/>
      </c:barChart>
      <c:catAx>
        <c:axId val="1129623648"/>
        <c:scaling>
          <c:orientation val="minMax"/>
        </c:scaling>
        <c:delete val="1"/>
        <c:axPos val="l"/>
        <c:majorTickMark val="out"/>
        <c:minorTickMark val="none"/>
        <c:tickLblPos val="nextTo"/>
        <c:crossAx val="1139932960"/>
        <c:crosses val="autoZero"/>
        <c:auto val="1"/>
        <c:lblAlgn val="ctr"/>
        <c:lblOffset val="100"/>
        <c:noMultiLvlLbl val="0"/>
      </c:catAx>
      <c:valAx>
        <c:axId val="1139932960"/>
        <c:scaling>
          <c:orientation val="minMax"/>
          <c:max val="4"/>
          <c:min val="0"/>
        </c:scaling>
        <c:delete val="1"/>
        <c:axPos val="b"/>
        <c:numFmt formatCode="0.0" sourceLinked="1"/>
        <c:majorTickMark val="out"/>
        <c:minorTickMark val="none"/>
        <c:tickLblPos val="nextTo"/>
        <c:crossAx val="112962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713147410358585E-2"/>
          <c:y val="0"/>
          <c:w val="0.71049136786188583"/>
          <c:h val="0.8294573643410853"/>
        </c:manualLayout>
      </c:layout>
      <c:doughnutChart>
        <c:varyColors val="1"/>
        <c:ser>
          <c:idx val="0"/>
          <c:order val="0"/>
          <c:dPt>
            <c:idx val="0"/>
            <c:bubble3D val="0"/>
            <c:spPr>
              <a:gradFill>
                <a:gsLst>
                  <a:gs pos="0">
                    <a:srgbClr val="511328"/>
                  </a:gs>
                  <a:gs pos="100000">
                    <a:srgbClr val="E3297D"/>
                  </a:gs>
                </a:gsLst>
                <a:lin ang="10800000" scaled="0"/>
              </a:gradFill>
              <a:ln w="19050">
                <a:noFill/>
              </a:ln>
              <a:effectLst/>
            </c:spPr>
            <c:extLst>
              <c:ext xmlns:c16="http://schemas.microsoft.com/office/drawing/2014/chart" uri="{C3380CC4-5D6E-409C-BE32-E72D297353CC}">
                <c16:uniqueId val="{00000001-8E12-4390-8EE9-173C712E8BE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E12-4390-8EE9-173C712E8BEA}"/>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E12-4390-8EE9-173C712E8BE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FCF2-4AD5-89CE-7566E2A95BDA}"/>
              </c:ext>
            </c:extLst>
          </c:dPt>
          <c:dPt>
            <c:idx val="1"/>
            <c:bubble3D val="0"/>
            <c:spPr>
              <a:gradFill>
                <a:gsLst>
                  <a:gs pos="0">
                    <a:srgbClr val="002060"/>
                  </a:gs>
                  <a:gs pos="100000">
                    <a:srgbClr val="0A0513"/>
                  </a:gs>
                </a:gsLst>
                <a:lin ang="10800000" scaled="0"/>
              </a:gradFill>
              <a:ln w="19050">
                <a:noFill/>
              </a:ln>
              <a:effectLst/>
            </c:spPr>
            <c:extLst>
              <c:ext xmlns:c16="http://schemas.microsoft.com/office/drawing/2014/chart" uri="{C3380CC4-5D6E-409C-BE32-E72D297353CC}">
                <c16:uniqueId val="{00000003-FCF2-4AD5-89CE-7566E2A95BDA}"/>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CF2-4AD5-89CE-7566E2A95BD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rgbClr val="2B6921">
                  <a:lumMod val="76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rgbClr val="2B6921">
                    <a:lumMod val="76000"/>
                  </a:srgb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F4A-4054-80D7-4153D7DDEC37}"/>
            </c:ext>
          </c:extLst>
        </c:ser>
        <c:dLbls>
          <c:dLblPos val="outEnd"/>
          <c:showLegendKey val="0"/>
          <c:showVal val="1"/>
          <c:showCatName val="0"/>
          <c:showSerName val="0"/>
          <c:showPercent val="0"/>
          <c:showBubbleSize val="0"/>
        </c:dLbls>
        <c:gapWidth val="75"/>
        <c:axId val="1880592400"/>
        <c:axId val="1795092592"/>
      </c:barChart>
      <c:catAx>
        <c:axId val="1880592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1795092592"/>
        <c:crosses val="autoZero"/>
        <c:auto val="1"/>
        <c:lblAlgn val="ctr"/>
        <c:lblOffset val="100"/>
        <c:noMultiLvlLbl val="0"/>
      </c:catAx>
      <c:valAx>
        <c:axId val="1795092592"/>
        <c:scaling>
          <c:orientation val="minMax"/>
        </c:scaling>
        <c:delete val="1"/>
        <c:axPos val="b"/>
        <c:numFmt formatCode="General" sourceLinked="1"/>
        <c:majorTickMark val="out"/>
        <c:minorTickMark val="none"/>
        <c:tickLblPos val="nextTo"/>
        <c:crossAx val="188059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ANALYSIS.xlsx]Department wise Attrtion!Department wise Attrtion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2"/>
          </a:solidFill>
          <a:ln w="19050">
            <a:solidFill>
              <a:schemeClr val="lt1"/>
            </a:solidFill>
          </a:ln>
          <a:effectLst/>
        </c:spPr>
      </c:pivotFmt>
      <c:pivotFmt>
        <c:idx val="7"/>
        <c:spPr>
          <a:gradFill>
            <a:gsLst>
              <a:gs pos="0">
                <a:schemeClr val="accent2">
                  <a:lumMod val="75000"/>
                </a:schemeClr>
              </a:gs>
              <a:gs pos="100000">
                <a:schemeClr val="accent2">
                  <a:lumMod val="50000"/>
                </a:schemeClr>
              </a:gs>
            </a:gsLst>
            <a:lin ang="0" scaled="0"/>
          </a:gradFill>
          <a:ln w="19050">
            <a:solidFill>
              <a:schemeClr val="lt1"/>
            </a:solidFill>
          </a:ln>
          <a:effectLst/>
        </c:spPr>
      </c:pivotFmt>
      <c:pivotFmt>
        <c:idx val="8"/>
        <c:spPr>
          <a:gradFill>
            <a:gsLst>
              <a:gs pos="0">
                <a:schemeClr val="accent6">
                  <a:lumMod val="50000"/>
                </a:schemeClr>
              </a:gs>
              <a:gs pos="100000">
                <a:schemeClr val="accent6">
                  <a:lumMod val="75000"/>
                </a:schemeClr>
              </a:gs>
            </a:gsLst>
            <a:lin ang="0" scaled="0"/>
          </a:gradFill>
          <a:ln w="19050">
            <a:solidFill>
              <a:schemeClr val="lt1"/>
            </a:solidFill>
          </a:ln>
          <a:effectLst/>
        </c:spPr>
      </c:pivotFmt>
    </c:pivotFmts>
    <c:plotArea>
      <c:layout/>
      <c:pieChart>
        <c:varyColors val="1"/>
        <c:ser>
          <c:idx val="0"/>
          <c:order val="0"/>
          <c:tx>
            <c:strRef>
              <c:f>'Department wise Attrtion'!$B$3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36-469D-BD45-62EEF5382276}"/>
              </c:ext>
            </c:extLst>
          </c:dPt>
          <c:dPt>
            <c:idx val="1"/>
            <c:bubble3D val="0"/>
            <c:spPr>
              <a:gradFill>
                <a:gsLst>
                  <a:gs pos="0">
                    <a:schemeClr val="accent2">
                      <a:lumMod val="75000"/>
                    </a:schemeClr>
                  </a:gs>
                  <a:gs pos="100000">
                    <a:schemeClr val="accent2">
                      <a:lumMod val="50000"/>
                    </a:schemeClr>
                  </a:gs>
                </a:gsLst>
                <a:lin ang="0" scaled="0"/>
              </a:gradFill>
              <a:ln w="19050">
                <a:solidFill>
                  <a:schemeClr val="lt1"/>
                </a:solidFill>
              </a:ln>
              <a:effectLst/>
            </c:spPr>
            <c:extLst>
              <c:ext xmlns:c16="http://schemas.microsoft.com/office/drawing/2014/chart" uri="{C3380CC4-5D6E-409C-BE32-E72D297353CC}">
                <c16:uniqueId val="{00000003-7736-469D-BD45-62EEF5382276}"/>
              </c:ext>
            </c:extLst>
          </c:dPt>
          <c:dPt>
            <c:idx val="2"/>
            <c:bubble3D val="0"/>
            <c:spPr>
              <a:gradFill>
                <a:gsLst>
                  <a:gs pos="0">
                    <a:schemeClr val="accent6">
                      <a:lumMod val="50000"/>
                    </a:schemeClr>
                  </a:gs>
                  <a:gs pos="100000">
                    <a:schemeClr val="accent6">
                      <a:lumMod val="75000"/>
                    </a:schemeClr>
                  </a:gs>
                </a:gsLst>
                <a:lin ang="0" scaled="0"/>
              </a:gradFill>
              <a:ln w="19050">
                <a:solidFill>
                  <a:schemeClr val="lt1"/>
                </a:solidFill>
              </a:ln>
              <a:effectLst/>
            </c:spPr>
            <c:extLst>
              <c:ext xmlns:c16="http://schemas.microsoft.com/office/drawing/2014/chart" uri="{C3380CC4-5D6E-409C-BE32-E72D297353CC}">
                <c16:uniqueId val="{00000005-7736-469D-BD45-62EEF5382276}"/>
              </c:ext>
            </c:extLst>
          </c:dPt>
          <c:cat>
            <c:strRef>
              <c:f>'Department wise Attrtion'!$A$4:$A$7</c:f>
              <c:strCache>
                <c:ptCount val="3"/>
                <c:pt idx="0">
                  <c:v>HR</c:v>
                </c:pt>
                <c:pt idx="1">
                  <c:v>R&amp;D</c:v>
                </c:pt>
                <c:pt idx="2">
                  <c:v>Sales</c:v>
                </c:pt>
              </c:strCache>
            </c:strRef>
          </c:cat>
          <c:val>
            <c:numRef>
              <c:f>'Department wise Attrtion'!$B$4:$B$7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7736-469D-BD45-62EEF53822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ANALYSIS.xlsx]Attrtion by Age group!Attrtion by Age 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75000"/>
                </a:schemeClr>
              </a:gs>
              <a:gs pos="100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'Attrtion by Age group'!$B$3</c:f>
              <c:strCache>
                <c:ptCount val="1"/>
                <c:pt idx="0">
                  <c:v>Total</c:v>
                </c:pt>
              </c:strCache>
            </c:strRef>
          </c:tx>
          <c:spPr>
            <a:gradFill>
              <a:gsLst>
                <a:gs pos="0">
                  <a:schemeClr val="accent2">
                    <a:lumMod val="75000"/>
                  </a:schemeClr>
                </a:gs>
                <a:gs pos="100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'Attrtion by Age group'!$A$4:$A$9</c:f>
              <c:strCache>
                <c:ptCount val="5"/>
                <c:pt idx="0">
                  <c:v>25 - 34</c:v>
                </c:pt>
                <c:pt idx="1">
                  <c:v>35 - 44</c:v>
                </c:pt>
                <c:pt idx="2">
                  <c:v>Under 25</c:v>
                </c:pt>
                <c:pt idx="3">
                  <c:v>45 - 54</c:v>
                </c:pt>
                <c:pt idx="4">
                  <c:v>Over 55</c:v>
                </c:pt>
              </c:strCache>
            </c:strRef>
          </c:cat>
          <c:val>
            <c:numRef>
              <c:f>'Attrtion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26A-4B25-A6D5-0E4FC70819D4}"/>
            </c:ext>
          </c:extLst>
        </c:ser>
        <c:dLbls>
          <c:dLblPos val="outEnd"/>
          <c:showLegendKey val="0"/>
          <c:showVal val="1"/>
          <c:showCatName val="0"/>
          <c:showSerName val="0"/>
          <c:showPercent val="0"/>
          <c:showBubbleSize val="0"/>
        </c:dLbls>
        <c:gapWidth val="146"/>
        <c:overlap val="-27"/>
        <c:axId val="1873900176"/>
        <c:axId val="1946788976"/>
      </c:barChart>
      <c:catAx>
        <c:axId val="187390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1946788976"/>
        <c:crosses val="autoZero"/>
        <c:auto val="1"/>
        <c:lblAlgn val="ctr"/>
        <c:lblOffset val="100"/>
        <c:noMultiLvlLbl val="0"/>
      </c:catAx>
      <c:valAx>
        <c:axId val="1946788976"/>
        <c:scaling>
          <c:orientation val="minMax"/>
        </c:scaling>
        <c:delete val="1"/>
        <c:axPos val="l"/>
        <c:numFmt formatCode="General" sourceLinked="1"/>
        <c:majorTickMark val="out"/>
        <c:minorTickMark val="none"/>
        <c:tickLblPos val="nextTo"/>
        <c:crossAx val="187390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703873164503084"/>
          <c:y val="0.12963917525773197"/>
          <c:w val="0.34880577427821519"/>
          <c:h val="0.6652481262007197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B7-4889-98A9-D16CDE10D2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B7-4889-98A9-D16CDE10D289}"/>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197D-4024-8F85-5CCDCFDFDA0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7.407407407407407E-2"/>
          <c:w val="0.89971084864391948"/>
          <c:h val="0.8416746864975212"/>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02B5-434F-B701-DB00F58EBEAB}"/>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02B5-434F-B701-DB00F58EBEAB}"/>
            </c:ext>
          </c:extLst>
        </c:ser>
        <c:dLbls>
          <c:showLegendKey val="0"/>
          <c:showVal val="0"/>
          <c:showCatName val="0"/>
          <c:showSerName val="0"/>
          <c:showPercent val="0"/>
          <c:showBubbleSize val="0"/>
        </c:dLbls>
        <c:gapWidth val="0"/>
        <c:overlap val="100"/>
        <c:axId val="1129623648"/>
        <c:axId val="1139932960"/>
      </c:barChart>
      <c:catAx>
        <c:axId val="1129623648"/>
        <c:scaling>
          <c:orientation val="minMax"/>
        </c:scaling>
        <c:delete val="1"/>
        <c:axPos val="l"/>
        <c:majorTickMark val="out"/>
        <c:minorTickMark val="none"/>
        <c:tickLblPos val="nextTo"/>
        <c:crossAx val="1139932960"/>
        <c:crosses val="autoZero"/>
        <c:auto val="1"/>
        <c:lblAlgn val="ctr"/>
        <c:lblOffset val="100"/>
        <c:noMultiLvlLbl val="0"/>
      </c:catAx>
      <c:valAx>
        <c:axId val="1139932960"/>
        <c:scaling>
          <c:orientation val="minMax"/>
          <c:max val="4"/>
          <c:min val="0"/>
        </c:scaling>
        <c:delete val="1"/>
        <c:axPos val="b"/>
        <c:numFmt formatCode="0.0" sourceLinked="1"/>
        <c:majorTickMark val="out"/>
        <c:minorTickMark val="none"/>
        <c:tickLblPos val="nextTo"/>
        <c:crossAx val="112962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E5-4F47-94E6-6386B7C58B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E5-4F47-94E6-6386B7C58BA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ADC3-4A71-B7B7-85A2ABE1EA3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494-4E60-8B19-9CAE1341C1FD}"/>
            </c:ext>
          </c:extLst>
        </c:ser>
        <c:dLbls>
          <c:dLblPos val="outEnd"/>
          <c:showLegendKey val="0"/>
          <c:showVal val="1"/>
          <c:showCatName val="0"/>
          <c:showSerName val="0"/>
          <c:showPercent val="0"/>
          <c:showBubbleSize val="0"/>
        </c:dLbls>
        <c:gapWidth val="182"/>
        <c:axId val="1880592400"/>
        <c:axId val="1795092592"/>
      </c:barChart>
      <c:catAx>
        <c:axId val="1880592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5092592"/>
        <c:crosses val="autoZero"/>
        <c:auto val="1"/>
        <c:lblAlgn val="ctr"/>
        <c:lblOffset val="100"/>
        <c:noMultiLvlLbl val="0"/>
      </c:catAx>
      <c:valAx>
        <c:axId val="1795092592"/>
        <c:scaling>
          <c:orientation val="minMax"/>
        </c:scaling>
        <c:delete val="1"/>
        <c:axPos val="b"/>
        <c:numFmt formatCode="General" sourceLinked="1"/>
        <c:majorTickMark val="out"/>
        <c:minorTickMark val="none"/>
        <c:tickLblPos val="nextTo"/>
        <c:crossAx val="188059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ANALYSIS.xlsx]Department wise Attrtion!Department wise Attrtion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90-486C-8483-F5F7BF6DA4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90-486C-8483-F5F7BF6DA4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90-486C-8483-F5F7BF6DA488}"/>
              </c:ext>
            </c:extLst>
          </c:dPt>
          <c:cat>
            <c:strRef>
              <c:f>'Department wise Attrtion'!$A$4:$A$7</c:f>
              <c:strCache>
                <c:ptCount val="3"/>
                <c:pt idx="0">
                  <c:v>HR</c:v>
                </c:pt>
                <c:pt idx="1">
                  <c:v>R&amp;D</c:v>
                </c:pt>
                <c:pt idx="2">
                  <c:v>Sales</c:v>
                </c:pt>
              </c:strCache>
            </c:strRef>
          </c:cat>
          <c:val>
            <c:numRef>
              <c:f>'Department wise Attrtion'!$B$4:$B$7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3468-48EA-A4FC-887141CEF5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ANALYSIS.xlsx]Attrtion by Age group!Attrtion by Age 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'Attrtion by Age group'!$B$3</c:f>
              <c:strCache>
                <c:ptCount val="1"/>
                <c:pt idx="0">
                  <c:v>Total</c:v>
                </c:pt>
              </c:strCache>
            </c:strRef>
          </c:tx>
          <c:spPr>
            <a:solidFill>
              <a:schemeClr val="accent1"/>
            </a:solidFill>
            <a:ln>
              <a:noFill/>
            </a:ln>
            <a:effectLst/>
          </c:spPr>
          <c:invertIfNegative val="0"/>
          <c:cat>
            <c:strRef>
              <c:f>'Attrtion by Age group'!$A$4:$A$9</c:f>
              <c:strCache>
                <c:ptCount val="5"/>
                <c:pt idx="0">
                  <c:v>25 - 34</c:v>
                </c:pt>
                <c:pt idx="1">
                  <c:v>35 - 44</c:v>
                </c:pt>
                <c:pt idx="2">
                  <c:v>Under 25</c:v>
                </c:pt>
                <c:pt idx="3">
                  <c:v>45 - 54</c:v>
                </c:pt>
                <c:pt idx="4">
                  <c:v>Over 55</c:v>
                </c:pt>
              </c:strCache>
            </c:strRef>
          </c:cat>
          <c:val>
            <c:numRef>
              <c:f>'Attrtion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448-4794-B9E2-DA2CAE8F1D17}"/>
            </c:ext>
          </c:extLst>
        </c:ser>
        <c:dLbls>
          <c:showLegendKey val="0"/>
          <c:showVal val="0"/>
          <c:showCatName val="0"/>
          <c:showSerName val="0"/>
          <c:showPercent val="0"/>
          <c:showBubbleSize val="0"/>
        </c:dLbls>
        <c:gapWidth val="219"/>
        <c:overlap val="-27"/>
        <c:axId val="1873900176"/>
        <c:axId val="1946788976"/>
      </c:barChart>
      <c:catAx>
        <c:axId val="187390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6788976"/>
        <c:crosses val="autoZero"/>
        <c:auto val="1"/>
        <c:lblAlgn val="ctr"/>
        <c:lblOffset val="100"/>
        <c:noMultiLvlLbl val="0"/>
      </c:catAx>
      <c:valAx>
        <c:axId val="1946788976"/>
        <c:scaling>
          <c:orientation val="minMax"/>
        </c:scaling>
        <c:delete val="1"/>
        <c:axPos val="l"/>
        <c:numFmt formatCode="General" sourceLinked="1"/>
        <c:majorTickMark val="out"/>
        <c:minorTickMark val="none"/>
        <c:tickLblPos val="nextTo"/>
        <c:crossAx val="187390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plotSurface>
          <cx:spPr>
            <a:noFill/>
            <a:ln>
              <a:noFill/>
            </a:ln>
          </cx:spPr>
        </cx:plotSurface>
        <cx:series layoutId="treemap" uniqueId="{D504EF5B-B4F9-4073-BAA3-599C9A1824E7}">
          <cx:dataPt idx="2">
            <cx:spPr>
              <a:solidFill>
                <a:srgbClr val="002060"/>
              </a:solidFill>
              <a:ln>
                <a:noFill/>
              </a:ln>
            </cx:spPr>
          </cx:dataPt>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776816E-892E-4B45-B691-A644F5D9F3CF}">
          <cx:tx>
            <cx:txData>
              <cx:f>_xlchart.v2.1</cx:f>
              <cx:v>Attrtion</cx:v>
            </cx:txData>
          </cx:tx>
          <cx:spPr>
            <a:gradFill>
              <a:gsLst>
                <a:gs pos="0">
                  <a:srgbClr val="2B6921"/>
                </a:gs>
                <a:gs pos="100000">
                  <a:schemeClr val="accent2">
                    <a:lumMod val="50000"/>
                  </a:schemeClr>
                </a:gs>
              </a:gsLst>
              <a:lin ang="0" scaled="0"/>
            </a:gradFill>
            <a:ln>
              <a:noFill/>
            </a:ln>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D504EF5B-B4F9-4073-BAA3-599C9A1824E7}">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A776816E-892E-4B45-B691-A644F5D9F3CF}">
          <cx:tx>
            <cx:txData>
              <cx:f>_xlchart.v2.8</cx:f>
              <cx:v>Attrtion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4</xdr:col>
      <xdr:colOff>457200</xdr:colOff>
      <xdr:row>6</xdr:row>
      <xdr:rowOff>175261</xdr:rowOff>
    </xdr:from>
    <xdr:to>
      <xdr:col>7</xdr:col>
      <xdr:colOff>281940</xdr:colOff>
      <xdr:row>12</xdr:row>
      <xdr:rowOff>121921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02CC90F-73CB-4AE1-8AA8-E5790A24B1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07380" y="1272541"/>
              <a:ext cx="1828800" cy="10439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5</xdr:col>
      <xdr:colOff>375958</xdr:colOff>
      <xdr:row>0</xdr:row>
      <xdr:rowOff>124918</xdr:rowOff>
    </xdr:from>
    <xdr:ext cx="14725650" cy="8535519"/>
    <xdr:grpSp>
      <xdr:nvGrpSpPr>
        <xdr:cNvPr id="2" name="Shape 2">
          <a:extLst>
            <a:ext uri="{FF2B5EF4-FFF2-40B4-BE49-F238E27FC236}">
              <a16:creationId xmlns:a16="http://schemas.microsoft.com/office/drawing/2014/main" id="{21B8BB20-9760-41C5-99CE-6AADF838176A}"/>
            </a:ext>
          </a:extLst>
        </xdr:cNvPr>
        <xdr:cNvGrpSpPr/>
      </xdr:nvGrpSpPr>
      <xdr:grpSpPr>
        <a:xfrm>
          <a:off x="3423958" y="124918"/>
          <a:ext cx="14725650" cy="8535519"/>
          <a:chOff x="0" y="41438"/>
          <a:chExt cx="10692000" cy="7477125"/>
        </a:xfrm>
        <a:solidFill>
          <a:schemeClr val="accent6">
            <a:lumMod val="50000"/>
          </a:schemeClr>
        </a:solidFill>
      </xdr:grpSpPr>
      <xdr:grpSp>
        <xdr:nvGrpSpPr>
          <xdr:cNvPr id="3" name="Shape 3">
            <a:extLst>
              <a:ext uri="{FF2B5EF4-FFF2-40B4-BE49-F238E27FC236}">
                <a16:creationId xmlns:a16="http://schemas.microsoft.com/office/drawing/2014/main" id="{66DA663C-F542-4294-ADB5-133453105927}"/>
              </a:ext>
            </a:extLst>
          </xdr:cNvPr>
          <xdr:cNvGrpSpPr/>
        </xdr:nvGrpSpPr>
        <xdr:grpSpPr>
          <a:xfrm>
            <a:off x="0" y="41438"/>
            <a:ext cx="10692000" cy="7477125"/>
            <a:chOff x="1752600" y="190500"/>
            <a:chExt cx="13468350" cy="7776000"/>
          </a:xfrm>
          <a:grpFill/>
        </xdr:grpSpPr>
        <xdr:sp macro="" textlink="">
          <xdr:nvSpPr>
            <xdr:cNvPr id="4" name="Shape 4">
              <a:extLst>
                <a:ext uri="{FF2B5EF4-FFF2-40B4-BE49-F238E27FC236}">
                  <a16:creationId xmlns:a16="http://schemas.microsoft.com/office/drawing/2014/main" id="{ED6C08D5-7EC8-4E5E-A58C-169421CE236E}"/>
                </a:ext>
              </a:extLst>
            </xdr:cNvPr>
            <xdr:cNvSpPr/>
          </xdr:nvSpPr>
          <xdr:spPr>
            <a:xfrm>
              <a:off x="1752600" y="190500"/>
              <a:ext cx="13468350" cy="777600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506710C1-7B0B-4C3B-B44B-7AFFAEDD66A8}"/>
                </a:ext>
              </a:extLst>
            </xdr:cNvPr>
            <xdr:cNvSpPr/>
          </xdr:nvSpPr>
          <xdr:spPr>
            <a:xfrm>
              <a:off x="1752600" y="190500"/>
              <a:ext cx="13468350" cy="7776000"/>
            </a:xfrm>
            <a:prstGeom prst="roundRect">
              <a:avLst>
                <a:gd name="adj" fmla="val 1112"/>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343B704-DFAF-490A-875A-9E9472939E79}"/>
                </a:ext>
              </a:extLst>
            </xdr:cNvPr>
            <xdr:cNvSpPr/>
          </xdr:nvSpPr>
          <xdr:spPr>
            <a:xfrm>
              <a:off x="1852449" y="270899"/>
              <a:ext cx="7691601" cy="834001"/>
            </a:xfrm>
            <a:prstGeom prst="roundRect">
              <a:avLst>
                <a:gd name="adj" fmla="val 10000"/>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88DCC2D9-6F5F-4E14-A2E4-D82EE26F4F84}"/>
                </a:ext>
              </a:extLst>
            </xdr:cNvPr>
            <xdr:cNvSpPr/>
          </xdr:nvSpPr>
          <xdr:spPr>
            <a:xfrm>
              <a:off x="9658349" y="270899"/>
              <a:ext cx="5467351" cy="834001"/>
            </a:xfrm>
            <a:prstGeom prst="roundRect">
              <a:avLst>
                <a:gd name="adj" fmla="val 10000"/>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FA71F3C9-1217-4082-A9F7-40E2881A6E87}"/>
                </a:ext>
              </a:extLst>
            </xdr:cNvPr>
            <xdr:cNvSpPr/>
          </xdr:nvSpPr>
          <xdr:spPr>
            <a:xfrm>
              <a:off x="5819774" y="2304895"/>
              <a:ext cx="4819651" cy="2772878"/>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C1526EA7-FE5D-4F16-97C3-650662FCA1CD}"/>
                </a:ext>
              </a:extLst>
            </xdr:cNvPr>
            <xdr:cNvGrpSpPr/>
          </xdr:nvGrpSpPr>
          <xdr:grpSpPr>
            <a:xfrm>
              <a:off x="1846116" y="1215714"/>
              <a:ext cx="13289109" cy="998848"/>
              <a:chOff x="1846116" y="1215714"/>
              <a:chExt cx="13403409" cy="998848"/>
            </a:xfrm>
            <a:grpFill/>
          </xdr:grpSpPr>
          <xdr:sp macro="" textlink="">
            <xdr:nvSpPr>
              <xdr:cNvPr id="24" name="Shape 10">
                <a:extLst>
                  <a:ext uri="{FF2B5EF4-FFF2-40B4-BE49-F238E27FC236}">
                    <a16:creationId xmlns:a16="http://schemas.microsoft.com/office/drawing/2014/main" id="{E9CE204C-E100-4CBF-958B-1865F63D774A}"/>
                  </a:ext>
                </a:extLst>
              </xdr:cNvPr>
              <xdr:cNvSpPr/>
            </xdr:nvSpPr>
            <xdr:spPr>
              <a:xfrm>
                <a:off x="1846116" y="1215714"/>
                <a:ext cx="2602058" cy="998848"/>
              </a:xfrm>
              <a:prstGeom prst="roundRect">
                <a:avLst>
                  <a:gd name="adj" fmla="val 6048"/>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11">
                <a:extLst>
                  <a:ext uri="{FF2B5EF4-FFF2-40B4-BE49-F238E27FC236}">
                    <a16:creationId xmlns:a16="http://schemas.microsoft.com/office/drawing/2014/main" id="{AE18DEEF-81D5-438B-85E3-DDAA26C2470F}"/>
                  </a:ext>
                </a:extLst>
              </xdr:cNvPr>
              <xdr:cNvSpPr/>
            </xdr:nvSpPr>
            <xdr:spPr>
              <a:xfrm>
                <a:off x="4546454" y="1215714"/>
                <a:ext cx="2602058" cy="998848"/>
              </a:xfrm>
              <a:prstGeom prst="roundRect">
                <a:avLst>
                  <a:gd name="adj" fmla="val 6048"/>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12">
                <a:extLst>
                  <a:ext uri="{FF2B5EF4-FFF2-40B4-BE49-F238E27FC236}">
                    <a16:creationId xmlns:a16="http://schemas.microsoft.com/office/drawing/2014/main" id="{DE99CFB6-0560-4266-8E4F-91D289C67113}"/>
                  </a:ext>
                </a:extLst>
              </xdr:cNvPr>
              <xdr:cNvSpPr/>
            </xdr:nvSpPr>
            <xdr:spPr>
              <a:xfrm>
                <a:off x="7246792" y="1215714"/>
                <a:ext cx="2602058" cy="998848"/>
              </a:xfrm>
              <a:prstGeom prst="roundRect">
                <a:avLst>
                  <a:gd name="adj" fmla="val 6048"/>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13">
                <a:extLst>
                  <a:ext uri="{FF2B5EF4-FFF2-40B4-BE49-F238E27FC236}">
                    <a16:creationId xmlns:a16="http://schemas.microsoft.com/office/drawing/2014/main" id="{F86B249C-A3A0-4DC3-A602-275832C80D56}"/>
                  </a:ext>
                </a:extLst>
              </xdr:cNvPr>
              <xdr:cNvSpPr/>
            </xdr:nvSpPr>
            <xdr:spPr>
              <a:xfrm>
                <a:off x="9947130" y="1215714"/>
                <a:ext cx="2602058" cy="998848"/>
              </a:xfrm>
              <a:prstGeom prst="roundRect">
                <a:avLst>
                  <a:gd name="adj" fmla="val 6048"/>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14">
                <a:extLst>
                  <a:ext uri="{FF2B5EF4-FFF2-40B4-BE49-F238E27FC236}">
                    <a16:creationId xmlns:a16="http://schemas.microsoft.com/office/drawing/2014/main" id="{5E6B6246-0BB7-4A36-9F85-1E7442CF07DA}"/>
                  </a:ext>
                </a:extLst>
              </xdr:cNvPr>
              <xdr:cNvSpPr/>
            </xdr:nvSpPr>
            <xdr:spPr>
              <a:xfrm>
                <a:off x="12647467" y="1215714"/>
                <a:ext cx="2602058" cy="998848"/>
              </a:xfrm>
              <a:prstGeom prst="roundRect">
                <a:avLst>
                  <a:gd name="adj" fmla="val 6048"/>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15">
              <a:extLst>
                <a:ext uri="{FF2B5EF4-FFF2-40B4-BE49-F238E27FC236}">
                  <a16:creationId xmlns:a16="http://schemas.microsoft.com/office/drawing/2014/main" id="{D521C479-FA70-4323-B84F-DC65F9E3CFE5}"/>
                </a:ext>
              </a:extLst>
            </xdr:cNvPr>
            <xdr:cNvGrpSpPr/>
          </xdr:nvGrpSpPr>
          <xdr:grpSpPr>
            <a:xfrm>
              <a:off x="1847145" y="5162550"/>
              <a:ext cx="3867930" cy="2709509"/>
              <a:chOff x="1847145" y="2304895"/>
              <a:chExt cx="3867930" cy="2772878"/>
            </a:xfrm>
            <a:grpFill/>
          </xdr:grpSpPr>
          <xdr:sp macro="" textlink="">
            <xdr:nvSpPr>
              <xdr:cNvPr id="22" name="Shape 16">
                <a:extLst>
                  <a:ext uri="{FF2B5EF4-FFF2-40B4-BE49-F238E27FC236}">
                    <a16:creationId xmlns:a16="http://schemas.microsoft.com/office/drawing/2014/main" id="{A26703B7-0A2E-49AA-A7DA-2A085438FDFD}"/>
                  </a:ext>
                </a:extLst>
              </xdr:cNvPr>
              <xdr:cNvSpPr/>
            </xdr:nvSpPr>
            <xdr:spPr>
              <a:xfrm>
                <a:off x="1847145" y="2304895"/>
                <a:ext cx="3867930" cy="2772878"/>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17">
                <a:extLst>
                  <a:ext uri="{FF2B5EF4-FFF2-40B4-BE49-F238E27FC236}">
                    <a16:creationId xmlns:a16="http://schemas.microsoft.com/office/drawing/2014/main" id="{0C0C1766-2557-42F7-9547-3AD9C156F103}"/>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xnSp macro="">
          <xdr:nvCxnSpPr>
            <xdr:cNvPr id="11" name="Shape 18">
              <a:extLst>
                <a:ext uri="{FF2B5EF4-FFF2-40B4-BE49-F238E27FC236}">
                  <a16:creationId xmlns:a16="http://schemas.microsoft.com/office/drawing/2014/main" id="{83987D7D-6175-480C-A26A-48C09282B80B}"/>
                </a:ext>
              </a:extLst>
            </xdr:cNvPr>
            <xdr:cNvCxnSpPr/>
          </xdr:nvCxnSpPr>
          <xdr:spPr>
            <a:xfrm flipH="1">
              <a:off x="6021356" y="2667000"/>
              <a:ext cx="4464000" cy="265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2" name="Shape 19">
              <a:extLst>
                <a:ext uri="{FF2B5EF4-FFF2-40B4-BE49-F238E27FC236}">
                  <a16:creationId xmlns:a16="http://schemas.microsoft.com/office/drawing/2014/main" id="{D383B885-03CC-4FDB-843C-FA00CDCDD57D}"/>
                </a:ext>
              </a:extLst>
            </xdr:cNvPr>
            <xdr:cNvSpPr/>
          </xdr:nvSpPr>
          <xdr:spPr>
            <a:xfrm>
              <a:off x="10744199" y="2304895"/>
              <a:ext cx="4381501" cy="2772878"/>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20">
              <a:extLst>
                <a:ext uri="{FF2B5EF4-FFF2-40B4-BE49-F238E27FC236}">
                  <a16:creationId xmlns:a16="http://schemas.microsoft.com/office/drawing/2014/main" id="{C7FE862E-A9D7-46ED-B236-77CF72324F9E}"/>
                </a:ext>
              </a:extLst>
            </xdr:cNvPr>
            <xdr:cNvCxnSpPr/>
          </xdr:nvCxnSpPr>
          <xdr:spPr>
            <a:xfrm rot="10800000" flipH="1">
              <a:off x="10917205" y="2678637"/>
              <a:ext cx="4068000" cy="530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4" name="Shape 21">
              <a:extLst>
                <a:ext uri="{FF2B5EF4-FFF2-40B4-BE49-F238E27FC236}">
                  <a16:creationId xmlns:a16="http://schemas.microsoft.com/office/drawing/2014/main" id="{81E5773B-BE48-4BB3-9CBB-6C6085C86E95}"/>
                </a:ext>
              </a:extLst>
            </xdr:cNvPr>
            <xdr:cNvSpPr/>
          </xdr:nvSpPr>
          <xdr:spPr>
            <a:xfrm>
              <a:off x="1847145" y="2314575"/>
              <a:ext cx="3867930" cy="2754668"/>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22">
              <a:extLst>
                <a:ext uri="{FF2B5EF4-FFF2-40B4-BE49-F238E27FC236}">
                  <a16:creationId xmlns:a16="http://schemas.microsoft.com/office/drawing/2014/main" id="{8E13E27B-0C9E-4730-915E-EFAFC7CC9FC0}"/>
                </a:ext>
              </a:extLst>
            </xdr:cNvPr>
            <xdr:cNvCxnSpPr/>
          </xdr:nvCxnSpPr>
          <xdr:spPr>
            <a:xfrm rot="10800000" flipH="1">
              <a:off x="1963706" y="2666813"/>
              <a:ext cx="3608419" cy="526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6" name="Shape 23">
              <a:extLst>
                <a:ext uri="{FF2B5EF4-FFF2-40B4-BE49-F238E27FC236}">
                  <a16:creationId xmlns:a16="http://schemas.microsoft.com/office/drawing/2014/main" id="{8B03A9C8-8FD8-4CE2-9ECA-4F1FCD22DAFE}"/>
                </a:ext>
              </a:extLst>
            </xdr:cNvPr>
            <xdr:cNvSpPr/>
          </xdr:nvSpPr>
          <xdr:spPr>
            <a:xfrm>
              <a:off x="5809545" y="5162550"/>
              <a:ext cx="3564000" cy="2709509"/>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24">
              <a:extLst>
                <a:ext uri="{FF2B5EF4-FFF2-40B4-BE49-F238E27FC236}">
                  <a16:creationId xmlns:a16="http://schemas.microsoft.com/office/drawing/2014/main" id="{14457E91-1E54-4A91-B078-6EE53A5D73F7}"/>
                </a:ext>
              </a:extLst>
            </xdr:cNvPr>
            <xdr:cNvCxnSpPr/>
          </xdr:nvCxnSpPr>
          <xdr:spPr>
            <a:xfrm rot="10800000" flipH="1">
              <a:off x="6009569" y="5524500"/>
              <a:ext cx="3096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8" name="Shape 25">
              <a:extLst>
                <a:ext uri="{FF2B5EF4-FFF2-40B4-BE49-F238E27FC236}">
                  <a16:creationId xmlns:a16="http://schemas.microsoft.com/office/drawing/2014/main" id="{FAC41629-D6D5-4C06-858C-127394F001ED}"/>
                </a:ext>
              </a:extLst>
            </xdr:cNvPr>
            <xdr:cNvSpPr/>
          </xdr:nvSpPr>
          <xdr:spPr>
            <a:xfrm>
              <a:off x="9467145" y="5162550"/>
              <a:ext cx="2844000" cy="2700000"/>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26">
              <a:extLst>
                <a:ext uri="{FF2B5EF4-FFF2-40B4-BE49-F238E27FC236}">
                  <a16:creationId xmlns:a16="http://schemas.microsoft.com/office/drawing/2014/main" id="{E4658469-5049-414C-B46A-224DDEB92EEF}"/>
                </a:ext>
              </a:extLst>
            </xdr:cNvPr>
            <xdr:cNvCxnSpPr/>
          </xdr:nvCxnSpPr>
          <xdr:spPr>
            <a:xfrm rot="10800000" flipH="1">
              <a:off x="9686219" y="5524500"/>
              <a:ext cx="2448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20" name="Shape 27">
              <a:extLst>
                <a:ext uri="{FF2B5EF4-FFF2-40B4-BE49-F238E27FC236}">
                  <a16:creationId xmlns:a16="http://schemas.microsoft.com/office/drawing/2014/main" id="{C68A9D59-CFE4-4F9F-A405-5FBDF6A4A0E2}"/>
                </a:ext>
              </a:extLst>
            </xdr:cNvPr>
            <xdr:cNvSpPr/>
          </xdr:nvSpPr>
          <xdr:spPr>
            <a:xfrm>
              <a:off x="12419895" y="5162550"/>
              <a:ext cx="2700000" cy="2700000"/>
            </a:xfrm>
            <a:prstGeom prst="roundRect">
              <a:avLst>
                <a:gd name="adj" fmla="val 3303"/>
              </a:avLst>
            </a:prstGeom>
            <a:solidFill>
              <a:schemeClr val="accent6">
                <a:lumMod val="20000"/>
                <a:lumOff val="80000"/>
              </a:schemeClr>
            </a:solidFill>
            <a:ln w="12700" cap="flat" cmpd="sng">
              <a:solidFill>
                <a:schemeClr val="accent6">
                  <a:lumMod val="7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28">
              <a:extLst>
                <a:ext uri="{FF2B5EF4-FFF2-40B4-BE49-F238E27FC236}">
                  <a16:creationId xmlns:a16="http://schemas.microsoft.com/office/drawing/2014/main" id="{D74E92AD-9FD5-44E0-B494-BA9FD9DDE927}"/>
                </a:ext>
              </a:extLst>
            </xdr:cNvPr>
            <xdr:cNvCxnSpPr/>
          </xdr:nvCxnSpPr>
          <xdr:spPr>
            <a:xfrm rot="10800000" flipH="1">
              <a:off x="12543719" y="5514975"/>
              <a:ext cx="2448000" cy="5179"/>
            </a:xfrm>
            <a:prstGeom prst="straightConnector1">
              <a:avLst/>
            </a:prstGeom>
            <a:grp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574623</xdr:colOff>
      <xdr:row>8</xdr:row>
      <xdr:rowOff>149902</xdr:rowOff>
    </xdr:from>
    <xdr:to>
      <xdr:col>9</xdr:col>
      <xdr:colOff>137410</xdr:colOff>
      <xdr:row>11</xdr:row>
      <xdr:rowOff>112427</xdr:rowOff>
    </xdr:to>
    <xdr:sp macro="" textlink="kPI!A7">
      <xdr:nvSpPr>
        <xdr:cNvPr id="31" name="TextBox 30">
          <a:extLst>
            <a:ext uri="{FF2B5EF4-FFF2-40B4-BE49-F238E27FC236}">
              <a16:creationId xmlns:a16="http://schemas.microsoft.com/office/drawing/2014/main" id="{B3FB555E-CFF5-4C9E-AA90-E57D60A33326}"/>
            </a:ext>
          </a:extLst>
        </xdr:cNvPr>
        <xdr:cNvSpPr txBox="1"/>
      </xdr:nvSpPr>
      <xdr:spPr>
        <a:xfrm>
          <a:off x="3635115" y="1648918"/>
          <a:ext cx="2011180" cy="52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6CA0B85-45EC-4622-95EC-352B714B0496}" type="TxLink">
            <a:rPr lang="en-US" sz="2800" b="0" i="0" u="none" strike="noStrike">
              <a:solidFill>
                <a:schemeClr val="tx1"/>
              </a:solidFill>
              <a:latin typeface="Arial Black" panose="020B0A04020102020204" pitchFamily="34" charset="0"/>
              <a:cs typeface="Calibri"/>
            </a:rPr>
            <a:pPr algn="ctr"/>
            <a:t>1470</a:t>
          </a:fld>
          <a:endParaRPr lang="en-NG" sz="2800">
            <a:solidFill>
              <a:schemeClr val="tx1"/>
            </a:solidFill>
            <a:latin typeface="Arial Black" panose="020B0A04020102020204" pitchFamily="34" charset="0"/>
          </a:endParaRPr>
        </a:p>
      </xdr:txBody>
    </xdr:sp>
    <xdr:clientData/>
  </xdr:twoCellAnchor>
  <xdr:twoCellAnchor>
    <xdr:from>
      <xdr:col>5</xdr:col>
      <xdr:colOff>524655</xdr:colOff>
      <xdr:row>6</xdr:row>
      <xdr:rowOff>162394</xdr:rowOff>
    </xdr:from>
    <xdr:to>
      <xdr:col>9</xdr:col>
      <xdr:colOff>274819</xdr:colOff>
      <xdr:row>8</xdr:row>
      <xdr:rowOff>149902</xdr:rowOff>
    </xdr:to>
    <xdr:sp macro="" textlink="">
      <xdr:nvSpPr>
        <xdr:cNvPr id="32" name="TextBox 31">
          <a:extLst>
            <a:ext uri="{FF2B5EF4-FFF2-40B4-BE49-F238E27FC236}">
              <a16:creationId xmlns:a16="http://schemas.microsoft.com/office/drawing/2014/main" id="{917E2CFD-6146-4F08-AB67-C7868A0E3104}"/>
            </a:ext>
          </a:extLst>
        </xdr:cNvPr>
        <xdr:cNvSpPr txBox="1"/>
      </xdr:nvSpPr>
      <xdr:spPr>
        <a:xfrm flipH="1">
          <a:off x="3585147" y="1286656"/>
          <a:ext cx="2198557"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C00000"/>
              </a:solidFill>
              <a:latin typeface="Arial Black" panose="020B0A04020102020204" pitchFamily="34" charset="0"/>
            </a:rPr>
            <a:t>Total</a:t>
          </a:r>
          <a:r>
            <a:rPr lang="en-US" sz="1400">
              <a:solidFill>
                <a:schemeClr val="tx1"/>
              </a:solidFill>
            </a:rPr>
            <a:t> </a:t>
          </a:r>
          <a:r>
            <a:rPr lang="en-US" sz="1600">
              <a:solidFill>
                <a:srgbClr val="C00000"/>
              </a:solidFill>
              <a:latin typeface="Arial Black" panose="020B0A04020102020204" pitchFamily="34" charset="0"/>
            </a:rPr>
            <a:t>Employees</a:t>
          </a:r>
          <a:endParaRPr lang="en-NG" sz="1600">
            <a:solidFill>
              <a:srgbClr val="C00000"/>
            </a:solidFill>
            <a:latin typeface="Arial Black" panose="020B0A04020102020204" pitchFamily="34" charset="0"/>
          </a:endParaRPr>
        </a:p>
      </xdr:txBody>
    </xdr:sp>
    <xdr:clientData/>
  </xdr:twoCellAnchor>
  <xdr:twoCellAnchor>
    <xdr:from>
      <xdr:col>10</xdr:col>
      <xdr:colOff>349764</xdr:colOff>
      <xdr:row>6</xdr:row>
      <xdr:rowOff>137410</xdr:rowOff>
    </xdr:from>
    <xdr:to>
      <xdr:col>13</xdr:col>
      <xdr:colOff>362260</xdr:colOff>
      <xdr:row>8</xdr:row>
      <xdr:rowOff>174886</xdr:rowOff>
    </xdr:to>
    <xdr:sp macro="" textlink="">
      <xdr:nvSpPr>
        <xdr:cNvPr id="120" name="TextBox 119">
          <a:extLst>
            <a:ext uri="{FF2B5EF4-FFF2-40B4-BE49-F238E27FC236}">
              <a16:creationId xmlns:a16="http://schemas.microsoft.com/office/drawing/2014/main" id="{5A9DB5EC-B216-4F34-A0B0-EFF744266B20}"/>
            </a:ext>
          </a:extLst>
        </xdr:cNvPr>
        <xdr:cNvSpPr txBox="1"/>
      </xdr:nvSpPr>
      <xdr:spPr>
        <a:xfrm flipH="1">
          <a:off x="6470748" y="1261672"/>
          <a:ext cx="1848791" cy="41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C00000"/>
              </a:solidFill>
              <a:latin typeface="Arial Black" panose="020B0A04020102020204" pitchFamily="34" charset="0"/>
            </a:rPr>
            <a:t>Attrition</a:t>
          </a:r>
          <a:endParaRPr lang="en-NG" sz="1600">
            <a:solidFill>
              <a:srgbClr val="C00000"/>
            </a:solidFill>
            <a:latin typeface="Arial Black" panose="020B0A04020102020204" pitchFamily="34" charset="0"/>
          </a:endParaRPr>
        </a:p>
      </xdr:txBody>
    </xdr:sp>
    <xdr:clientData/>
  </xdr:twoCellAnchor>
  <xdr:twoCellAnchor>
    <xdr:from>
      <xdr:col>10</xdr:col>
      <xdr:colOff>274819</xdr:colOff>
      <xdr:row>8</xdr:row>
      <xdr:rowOff>99934</xdr:rowOff>
    </xdr:from>
    <xdr:to>
      <xdr:col>14</xdr:col>
      <xdr:colOff>87444</xdr:colOff>
      <xdr:row>11</xdr:row>
      <xdr:rowOff>87442</xdr:rowOff>
    </xdr:to>
    <xdr:sp macro="" textlink="kPI!B7">
      <xdr:nvSpPr>
        <xdr:cNvPr id="121" name="TextBox 120">
          <a:extLst>
            <a:ext uri="{FF2B5EF4-FFF2-40B4-BE49-F238E27FC236}">
              <a16:creationId xmlns:a16="http://schemas.microsoft.com/office/drawing/2014/main" id="{D16A2785-97E6-40B9-BEC2-EA78AF70664D}"/>
            </a:ext>
          </a:extLst>
        </xdr:cNvPr>
        <xdr:cNvSpPr txBox="1"/>
      </xdr:nvSpPr>
      <xdr:spPr>
        <a:xfrm>
          <a:off x="6395803" y="1598950"/>
          <a:ext cx="2261018" cy="54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5D48FF7-DF0B-4BFF-8200-6512B67DF50B}" type="TxLink">
            <a:rPr lang="en-US" sz="2800" b="0" i="0" u="none" strike="noStrike">
              <a:solidFill>
                <a:srgbClr val="000000"/>
              </a:solidFill>
              <a:latin typeface="Arial Black" panose="020B0A04020102020204" pitchFamily="34" charset="0"/>
              <a:cs typeface="Calibri"/>
            </a:rPr>
            <a:pPr algn="ctr"/>
            <a:t>237</a:t>
          </a:fld>
          <a:endParaRPr lang="en-NG" sz="2800">
            <a:solidFill>
              <a:schemeClr val="tx1"/>
            </a:solidFill>
            <a:latin typeface="Arial Black" panose="020B0A04020102020204" pitchFamily="34" charset="0"/>
          </a:endParaRPr>
        </a:p>
      </xdr:txBody>
    </xdr:sp>
    <xdr:clientData/>
  </xdr:twoCellAnchor>
  <xdr:twoCellAnchor>
    <xdr:from>
      <xdr:col>14</xdr:col>
      <xdr:colOff>112426</xdr:colOff>
      <xdr:row>6</xdr:row>
      <xdr:rowOff>174886</xdr:rowOff>
    </xdr:from>
    <xdr:to>
      <xdr:col>20</xdr:col>
      <xdr:colOff>0</xdr:colOff>
      <xdr:row>9</xdr:row>
      <xdr:rowOff>62459</xdr:rowOff>
    </xdr:to>
    <xdr:sp macro="" textlink="">
      <xdr:nvSpPr>
        <xdr:cNvPr id="122" name="TextBox 121">
          <a:extLst>
            <a:ext uri="{FF2B5EF4-FFF2-40B4-BE49-F238E27FC236}">
              <a16:creationId xmlns:a16="http://schemas.microsoft.com/office/drawing/2014/main" id="{38244F3E-7791-4141-9EAC-3F4BB8F1C53E}"/>
            </a:ext>
          </a:extLst>
        </xdr:cNvPr>
        <xdr:cNvSpPr txBox="1"/>
      </xdr:nvSpPr>
      <xdr:spPr>
        <a:xfrm flipH="1">
          <a:off x="8681803" y="1299148"/>
          <a:ext cx="3560164" cy="449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C00000"/>
              </a:solidFill>
              <a:latin typeface="Arial Black" panose="020B0A04020102020204" pitchFamily="34" charset="0"/>
            </a:rPr>
            <a:t>Active</a:t>
          </a:r>
          <a:r>
            <a:rPr lang="en-US" sz="1600" baseline="0">
              <a:solidFill>
                <a:srgbClr val="C00000"/>
              </a:solidFill>
              <a:latin typeface="Arial Black" panose="020B0A04020102020204" pitchFamily="34" charset="0"/>
            </a:rPr>
            <a:t> Employees</a:t>
          </a:r>
          <a:endParaRPr lang="en-NG" sz="1600">
            <a:solidFill>
              <a:srgbClr val="C00000"/>
            </a:solidFill>
            <a:latin typeface="Arial Black" panose="020B0A04020102020204" pitchFamily="34" charset="0"/>
          </a:endParaRPr>
        </a:p>
      </xdr:txBody>
    </xdr:sp>
    <xdr:clientData/>
  </xdr:twoCellAnchor>
  <xdr:twoCellAnchor>
    <xdr:from>
      <xdr:col>14</xdr:col>
      <xdr:colOff>0</xdr:colOff>
      <xdr:row>9</xdr:row>
      <xdr:rowOff>49969</xdr:rowOff>
    </xdr:from>
    <xdr:to>
      <xdr:col>20</xdr:col>
      <xdr:colOff>49967</xdr:colOff>
      <xdr:row>11</xdr:row>
      <xdr:rowOff>149902</xdr:rowOff>
    </xdr:to>
    <xdr:sp macro="" textlink="kPI!D7">
      <xdr:nvSpPr>
        <xdr:cNvPr id="123" name="TextBox 122">
          <a:extLst>
            <a:ext uri="{FF2B5EF4-FFF2-40B4-BE49-F238E27FC236}">
              <a16:creationId xmlns:a16="http://schemas.microsoft.com/office/drawing/2014/main" id="{6DF41C13-7D62-4CA0-906B-D7FCFEA2AE9A}"/>
            </a:ext>
          </a:extLst>
        </xdr:cNvPr>
        <xdr:cNvSpPr txBox="1"/>
      </xdr:nvSpPr>
      <xdr:spPr>
        <a:xfrm>
          <a:off x="8569377" y="1736362"/>
          <a:ext cx="3722557" cy="474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048633F-8DE9-4A39-ABAF-643E64DD268F}" type="TxLink">
            <a:rPr lang="en-US" sz="2800" b="0" i="0" u="none" strike="noStrike">
              <a:solidFill>
                <a:srgbClr val="000000"/>
              </a:solidFill>
              <a:latin typeface="Arial Black" panose="020B0A04020102020204" pitchFamily="34" charset="0"/>
              <a:cs typeface="Calibri"/>
            </a:rPr>
            <a:pPr algn="ctr"/>
            <a:t>1233</a:t>
          </a:fld>
          <a:endParaRPr lang="en-NG" sz="2800">
            <a:solidFill>
              <a:schemeClr val="tx1"/>
            </a:solidFill>
            <a:latin typeface="Arial Black" panose="020B0A04020102020204" pitchFamily="34" charset="0"/>
          </a:endParaRPr>
        </a:p>
      </xdr:txBody>
    </xdr:sp>
    <xdr:clientData/>
  </xdr:twoCellAnchor>
  <xdr:twoCellAnchor>
    <xdr:from>
      <xdr:col>17</xdr:col>
      <xdr:colOff>574622</xdr:colOff>
      <xdr:row>7</xdr:row>
      <xdr:rowOff>12491</xdr:rowOff>
    </xdr:from>
    <xdr:to>
      <xdr:col>25</xdr:col>
      <xdr:colOff>12490</xdr:colOff>
      <xdr:row>10</xdr:row>
      <xdr:rowOff>49967</xdr:rowOff>
    </xdr:to>
    <xdr:sp macro="" textlink="">
      <xdr:nvSpPr>
        <xdr:cNvPr id="125" name="TextBox 124">
          <a:extLst>
            <a:ext uri="{FF2B5EF4-FFF2-40B4-BE49-F238E27FC236}">
              <a16:creationId xmlns:a16="http://schemas.microsoft.com/office/drawing/2014/main" id="{2393D7AD-ECFB-413C-8D42-674113624CF8}"/>
            </a:ext>
          </a:extLst>
        </xdr:cNvPr>
        <xdr:cNvSpPr txBox="1"/>
      </xdr:nvSpPr>
      <xdr:spPr>
        <a:xfrm flipH="1">
          <a:off x="10980294" y="1324130"/>
          <a:ext cx="4334655" cy="599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C00000"/>
              </a:solidFill>
              <a:latin typeface="Arial Black" panose="020B0A04020102020204" pitchFamily="34" charset="0"/>
            </a:rPr>
            <a:t>Attrition Rate</a:t>
          </a:r>
          <a:endParaRPr lang="en-NG" sz="1600">
            <a:solidFill>
              <a:srgbClr val="C00000"/>
            </a:solidFill>
            <a:latin typeface="Arial Black" panose="020B0A04020102020204" pitchFamily="34" charset="0"/>
          </a:endParaRPr>
        </a:p>
      </xdr:txBody>
    </xdr:sp>
    <xdr:clientData/>
  </xdr:twoCellAnchor>
  <xdr:twoCellAnchor>
    <xdr:from>
      <xdr:col>19</xdr:col>
      <xdr:colOff>437213</xdr:colOff>
      <xdr:row>7</xdr:row>
      <xdr:rowOff>24985</xdr:rowOff>
    </xdr:from>
    <xdr:to>
      <xdr:col>23</xdr:col>
      <xdr:colOff>574623</xdr:colOff>
      <xdr:row>11</xdr:row>
      <xdr:rowOff>137409</xdr:rowOff>
    </xdr:to>
    <xdr:sp macro="" textlink="kPI!E7">
      <xdr:nvSpPr>
        <xdr:cNvPr id="126" name="TextBox 125">
          <a:extLst>
            <a:ext uri="{FF2B5EF4-FFF2-40B4-BE49-F238E27FC236}">
              <a16:creationId xmlns:a16="http://schemas.microsoft.com/office/drawing/2014/main" id="{99A152B9-7A43-4012-A03E-80CA4341E4BB}"/>
            </a:ext>
          </a:extLst>
        </xdr:cNvPr>
        <xdr:cNvSpPr txBox="1"/>
      </xdr:nvSpPr>
      <xdr:spPr>
        <a:xfrm>
          <a:off x="12067082" y="1336624"/>
          <a:ext cx="2585803" cy="86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384BD74-AE7B-411D-A2DC-B9F3F96A8262}" type="TxLink">
            <a:rPr lang="en-US" sz="2800" b="0" i="0" u="none" strike="noStrike">
              <a:solidFill>
                <a:srgbClr val="000000"/>
              </a:solidFill>
              <a:latin typeface="Arial Black" panose="020B0A04020102020204" pitchFamily="34" charset="0"/>
              <a:cs typeface="Calibri"/>
            </a:rPr>
            <a:pPr algn="ctr"/>
            <a:t>16.12%</a:t>
          </a:fld>
          <a:endParaRPr lang="en-NG" sz="2800">
            <a:solidFill>
              <a:schemeClr val="tx1"/>
            </a:solidFill>
            <a:latin typeface="Arial Black" panose="020B0A04020102020204" pitchFamily="34" charset="0"/>
          </a:endParaRPr>
        </a:p>
      </xdr:txBody>
    </xdr:sp>
    <xdr:clientData/>
  </xdr:twoCellAnchor>
  <xdr:twoCellAnchor>
    <xdr:from>
      <xdr:col>25</xdr:col>
      <xdr:colOff>87443</xdr:colOff>
      <xdr:row>8</xdr:row>
      <xdr:rowOff>87443</xdr:rowOff>
    </xdr:from>
    <xdr:to>
      <xdr:col>28</xdr:col>
      <xdr:colOff>349771</xdr:colOff>
      <xdr:row>12</xdr:row>
      <xdr:rowOff>37476</xdr:rowOff>
    </xdr:to>
    <xdr:sp macro="" textlink="kPI!C7">
      <xdr:nvSpPr>
        <xdr:cNvPr id="127" name="TextBox 126">
          <a:extLst>
            <a:ext uri="{FF2B5EF4-FFF2-40B4-BE49-F238E27FC236}">
              <a16:creationId xmlns:a16="http://schemas.microsoft.com/office/drawing/2014/main" id="{882282AE-1B45-4714-B86E-83895A626A92}"/>
            </a:ext>
          </a:extLst>
        </xdr:cNvPr>
        <xdr:cNvSpPr txBox="1"/>
      </xdr:nvSpPr>
      <xdr:spPr>
        <a:xfrm>
          <a:off x="15389902" y="1586459"/>
          <a:ext cx="2098623" cy="699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BDEBB08-4846-4109-BB43-3A8099A748FD}" type="TxLink">
            <a:rPr lang="en-US" sz="2800" b="0" i="0" u="none" strike="noStrike">
              <a:solidFill>
                <a:srgbClr val="000000"/>
              </a:solidFill>
              <a:latin typeface="Arial Black" panose="020B0A04020102020204" pitchFamily="34" charset="0"/>
              <a:cs typeface="Calibri"/>
            </a:rPr>
            <a:pPr algn="ctr"/>
            <a:t>37</a:t>
          </a:fld>
          <a:endParaRPr lang="en-NG" sz="2800">
            <a:solidFill>
              <a:schemeClr val="tx1"/>
            </a:solidFill>
            <a:latin typeface="Arial Black" panose="020B0A04020102020204" pitchFamily="34" charset="0"/>
          </a:endParaRPr>
        </a:p>
      </xdr:txBody>
    </xdr:sp>
    <xdr:clientData/>
  </xdr:twoCellAnchor>
  <xdr:twoCellAnchor>
    <xdr:from>
      <xdr:col>24</xdr:col>
      <xdr:colOff>37474</xdr:colOff>
      <xdr:row>7</xdr:row>
      <xdr:rowOff>24984</xdr:rowOff>
    </xdr:from>
    <xdr:to>
      <xdr:col>29</xdr:col>
      <xdr:colOff>62458</xdr:colOff>
      <xdr:row>9</xdr:row>
      <xdr:rowOff>112427</xdr:rowOff>
    </xdr:to>
    <xdr:sp macro="" textlink="">
      <xdr:nvSpPr>
        <xdr:cNvPr id="128" name="TextBox 127">
          <a:extLst>
            <a:ext uri="{FF2B5EF4-FFF2-40B4-BE49-F238E27FC236}">
              <a16:creationId xmlns:a16="http://schemas.microsoft.com/office/drawing/2014/main" id="{0EFDB89A-7446-4C34-A010-CE1711DA3AA4}"/>
            </a:ext>
          </a:extLst>
        </xdr:cNvPr>
        <xdr:cNvSpPr txBox="1"/>
      </xdr:nvSpPr>
      <xdr:spPr>
        <a:xfrm flipH="1">
          <a:off x="14727835" y="1336623"/>
          <a:ext cx="3085475" cy="462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C00000"/>
              </a:solidFill>
              <a:latin typeface="Arial Black" panose="020B0A04020102020204" pitchFamily="34" charset="0"/>
            </a:rPr>
            <a:t>Average</a:t>
          </a:r>
          <a:r>
            <a:rPr lang="en-US" sz="1600" baseline="0">
              <a:solidFill>
                <a:srgbClr val="C00000"/>
              </a:solidFill>
              <a:latin typeface="Arial Black" panose="020B0A04020102020204" pitchFamily="34" charset="0"/>
            </a:rPr>
            <a:t> Age</a:t>
          </a:r>
          <a:endParaRPr lang="en-NG" sz="1600">
            <a:solidFill>
              <a:srgbClr val="C00000"/>
            </a:solidFill>
            <a:latin typeface="Arial Black" panose="020B0A04020102020204" pitchFamily="34" charset="0"/>
          </a:endParaRPr>
        </a:p>
      </xdr:txBody>
    </xdr:sp>
    <xdr:clientData/>
  </xdr:twoCellAnchor>
  <xdr:oneCellAnchor>
    <xdr:from>
      <xdr:col>9</xdr:col>
      <xdr:colOff>49968</xdr:colOff>
      <xdr:row>7</xdr:row>
      <xdr:rowOff>88316</xdr:rowOff>
    </xdr:from>
    <xdr:ext cx="720621" cy="599607"/>
    <xdr:pic>
      <xdr:nvPicPr>
        <xdr:cNvPr id="129" name="image4.png">
          <a:extLst>
            <a:ext uri="{FF2B5EF4-FFF2-40B4-BE49-F238E27FC236}">
              <a16:creationId xmlns:a16="http://schemas.microsoft.com/office/drawing/2014/main" id="{06E80CFF-B416-4BEF-B28D-DDF3E4C2B899}"/>
            </a:ext>
          </a:extLst>
        </xdr:cNvPr>
        <xdr:cNvPicPr preferRelativeResize="0"/>
      </xdr:nvPicPr>
      <xdr:blipFill>
        <a:blip xmlns:r="http://schemas.openxmlformats.org/officeDocument/2006/relationships" r:embed="rId1" cstate="print"/>
        <a:stretch>
          <a:fillRect/>
        </a:stretch>
      </xdr:blipFill>
      <xdr:spPr>
        <a:xfrm>
          <a:off x="5536368" y="1368476"/>
          <a:ext cx="720621" cy="599607"/>
        </a:xfrm>
        <a:prstGeom prst="rect">
          <a:avLst/>
        </a:prstGeom>
        <a:noFill/>
      </xdr:spPr>
    </xdr:pic>
    <xdr:clientData fLocksWithSheet="0"/>
  </xdr:oneCellAnchor>
  <xdr:oneCellAnchor>
    <xdr:from>
      <xdr:col>18</xdr:col>
      <xdr:colOff>544285</xdr:colOff>
      <xdr:row>7</xdr:row>
      <xdr:rowOff>97971</xdr:rowOff>
    </xdr:from>
    <xdr:ext cx="665795" cy="576337"/>
    <xdr:pic>
      <xdr:nvPicPr>
        <xdr:cNvPr id="130" name="image5.png">
          <a:extLst>
            <a:ext uri="{FF2B5EF4-FFF2-40B4-BE49-F238E27FC236}">
              <a16:creationId xmlns:a16="http://schemas.microsoft.com/office/drawing/2014/main" id="{5CF502CC-3BF7-4A77-846D-0DC2D3F4EC25}"/>
            </a:ext>
          </a:extLst>
        </xdr:cNvPr>
        <xdr:cNvPicPr preferRelativeResize="0"/>
      </xdr:nvPicPr>
      <xdr:blipFill>
        <a:blip xmlns:r="http://schemas.openxmlformats.org/officeDocument/2006/relationships" r:embed="rId2" cstate="print"/>
        <a:stretch>
          <a:fillRect/>
        </a:stretch>
      </xdr:blipFill>
      <xdr:spPr>
        <a:xfrm>
          <a:off x="11517085" y="1393371"/>
          <a:ext cx="665795" cy="576337"/>
        </a:xfrm>
        <a:prstGeom prst="rect">
          <a:avLst/>
        </a:prstGeom>
        <a:noFill/>
      </xdr:spPr>
    </xdr:pic>
    <xdr:clientData fLocksWithSheet="0"/>
  </xdr:oneCellAnchor>
  <xdr:oneCellAnchor>
    <xdr:from>
      <xdr:col>23</xdr:col>
      <xdr:colOff>250372</xdr:colOff>
      <xdr:row>7</xdr:row>
      <xdr:rowOff>87086</xdr:rowOff>
    </xdr:from>
    <xdr:ext cx="665528" cy="581975"/>
    <xdr:pic>
      <xdr:nvPicPr>
        <xdr:cNvPr id="131" name="image2.png">
          <a:extLst>
            <a:ext uri="{FF2B5EF4-FFF2-40B4-BE49-F238E27FC236}">
              <a16:creationId xmlns:a16="http://schemas.microsoft.com/office/drawing/2014/main" id="{0661F3C2-3240-4B1E-B0B7-EBBF78EFDF9D}"/>
            </a:ext>
          </a:extLst>
        </xdr:cNvPr>
        <xdr:cNvPicPr preferRelativeResize="0"/>
      </xdr:nvPicPr>
      <xdr:blipFill>
        <a:blip xmlns:r="http://schemas.openxmlformats.org/officeDocument/2006/relationships" r:embed="rId3" cstate="print"/>
        <a:stretch>
          <a:fillRect/>
        </a:stretch>
      </xdr:blipFill>
      <xdr:spPr>
        <a:xfrm>
          <a:off x="14271172" y="1382486"/>
          <a:ext cx="665528" cy="581975"/>
        </a:xfrm>
        <a:prstGeom prst="rect">
          <a:avLst/>
        </a:prstGeom>
        <a:noFill/>
      </xdr:spPr>
    </xdr:pic>
    <xdr:clientData fLocksWithSheet="0"/>
  </xdr:oneCellAnchor>
  <xdr:oneCellAnchor>
    <xdr:from>
      <xdr:col>28</xdr:col>
      <xdr:colOff>122170</xdr:colOff>
      <xdr:row>7</xdr:row>
      <xdr:rowOff>103556</xdr:rowOff>
    </xdr:from>
    <xdr:ext cx="657537" cy="537149"/>
    <xdr:pic>
      <xdr:nvPicPr>
        <xdr:cNvPr id="132" name="image6.png">
          <a:extLst>
            <a:ext uri="{FF2B5EF4-FFF2-40B4-BE49-F238E27FC236}">
              <a16:creationId xmlns:a16="http://schemas.microsoft.com/office/drawing/2014/main" id="{C4CF6432-CD85-4E0B-B01C-C3DEEDD6B899}"/>
            </a:ext>
          </a:extLst>
        </xdr:cNvPr>
        <xdr:cNvPicPr preferRelativeResize="0"/>
      </xdr:nvPicPr>
      <xdr:blipFill>
        <a:blip xmlns:r="http://schemas.openxmlformats.org/officeDocument/2006/relationships" r:embed="rId4" cstate="print"/>
        <a:stretch>
          <a:fillRect/>
        </a:stretch>
      </xdr:blipFill>
      <xdr:spPr>
        <a:xfrm>
          <a:off x="17190970" y="1383716"/>
          <a:ext cx="657537" cy="537149"/>
        </a:xfrm>
        <a:prstGeom prst="rect">
          <a:avLst/>
        </a:prstGeom>
        <a:noFill/>
      </xdr:spPr>
    </xdr:pic>
    <xdr:clientData fLocksWithSheet="0"/>
  </xdr:oneCellAnchor>
  <xdr:oneCellAnchor>
    <xdr:from>
      <xdr:col>13</xdr:col>
      <xdr:colOff>337458</xdr:colOff>
      <xdr:row>7</xdr:row>
      <xdr:rowOff>54429</xdr:rowOff>
    </xdr:from>
    <xdr:ext cx="824280" cy="599706"/>
    <xdr:pic>
      <xdr:nvPicPr>
        <xdr:cNvPr id="133" name="image7.png">
          <a:extLst>
            <a:ext uri="{FF2B5EF4-FFF2-40B4-BE49-F238E27FC236}">
              <a16:creationId xmlns:a16="http://schemas.microsoft.com/office/drawing/2014/main" id="{5BD6AB2C-D338-44BB-BBF2-16A60BBD1CA3}"/>
            </a:ext>
          </a:extLst>
        </xdr:cNvPr>
        <xdr:cNvPicPr preferRelativeResize="0"/>
      </xdr:nvPicPr>
      <xdr:blipFill>
        <a:blip xmlns:r="http://schemas.openxmlformats.org/officeDocument/2006/relationships" r:embed="rId5" cstate="print"/>
        <a:stretch>
          <a:fillRect/>
        </a:stretch>
      </xdr:blipFill>
      <xdr:spPr>
        <a:xfrm>
          <a:off x="8262258" y="1349829"/>
          <a:ext cx="824280" cy="599706"/>
        </a:xfrm>
        <a:prstGeom prst="rect">
          <a:avLst/>
        </a:prstGeom>
        <a:noFill/>
      </xdr:spPr>
    </xdr:pic>
    <xdr:clientData fLocksWithSheet="0"/>
  </xdr:oneCellAnchor>
  <xdr:twoCellAnchor>
    <xdr:from>
      <xdr:col>7</xdr:col>
      <xdr:colOff>587114</xdr:colOff>
      <xdr:row>1</xdr:row>
      <xdr:rowOff>137411</xdr:rowOff>
    </xdr:from>
    <xdr:to>
      <xdr:col>19</xdr:col>
      <xdr:colOff>174885</xdr:colOff>
      <xdr:row>5</xdr:row>
      <xdr:rowOff>24985</xdr:rowOff>
    </xdr:to>
    <xdr:sp macro="" textlink="">
      <xdr:nvSpPr>
        <xdr:cNvPr id="134" name="TextBox 133">
          <a:extLst>
            <a:ext uri="{FF2B5EF4-FFF2-40B4-BE49-F238E27FC236}">
              <a16:creationId xmlns:a16="http://schemas.microsoft.com/office/drawing/2014/main" id="{E0094D12-7F25-49BD-B76D-6711CD718BCC}"/>
            </a:ext>
          </a:extLst>
        </xdr:cNvPr>
        <xdr:cNvSpPr txBox="1"/>
      </xdr:nvSpPr>
      <xdr:spPr>
        <a:xfrm>
          <a:off x="4871803" y="324788"/>
          <a:ext cx="6932951" cy="637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latin typeface="Arial Black" panose="020B0A04020102020204" pitchFamily="34" charset="0"/>
            </a:rPr>
            <a:t>HR ANALYTICS</a:t>
          </a:r>
          <a:r>
            <a:rPr lang="en-US" sz="3200" baseline="0">
              <a:latin typeface="Arial Black" panose="020B0A04020102020204" pitchFamily="34" charset="0"/>
            </a:rPr>
            <a:t> DASHBOARD</a:t>
          </a:r>
          <a:endParaRPr lang="en-NG" sz="3200">
            <a:latin typeface="Arial Black" panose="020B0A04020102020204" pitchFamily="34" charset="0"/>
          </a:endParaRPr>
        </a:p>
      </xdr:txBody>
    </xdr:sp>
    <xdr:clientData/>
  </xdr:twoCellAnchor>
  <xdr:oneCellAnchor>
    <xdr:from>
      <xdr:col>6</xdr:col>
      <xdr:colOff>174886</xdr:colOff>
      <xdr:row>1</xdr:row>
      <xdr:rowOff>87443</xdr:rowOff>
    </xdr:from>
    <xdr:ext cx="886917" cy="712031"/>
    <xdr:pic>
      <xdr:nvPicPr>
        <xdr:cNvPr id="135" name="image1.png">
          <a:extLst>
            <a:ext uri="{FF2B5EF4-FFF2-40B4-BE49-F238E27FC236}">
              <a16:creationId xmlns:a16="http://schemas.microsoft.com/office/drawing/2014/main" id="{598BC32E-A582-4FEF-87A8-C3545841AA08}"/>
            </a:ext>
          </a:extLst>
        </xdr:cNvPr>
        <xdr:cNvPicPr preferRelativeResize="0"/>
      </xdr:nvPicPr>
      <xdr:blipFill>
        <a:blip xmlns:r="http://schemas.openxmlformats.org/officeDocument/2006/relationships" r:embed="rId6" cstate="print"/>
        <a:stretch>
          <a:fillRect/>
        </a:stretch>
      </xdr:blipFill>
      <xdr:spPr>
        <a:xfrm>
          <a:off x="3847476" y="274820"/>
          <a:ext cx="886917" cy="712031"/>
        </a:xfrm>
        <a:prstGeom prst="rect">
          <a:avLst/>
        </a:prstGeom>
        <a:noFill/>
      </xdr:spPr>
    </xdr:pic>
    <xdr:clientData fLocksWithSheet="0"/>
  </xdr:oneCellAnchor>
  <xdr:oneCellAnchor>
    <xdr:from>
      <xdr:col>20</xdr:col>
      <xdr:colOff>0</xdr:colOff>
      <xdr:row>1</xdr:row>
      <xdr:rowOff>99934</xdr:rowOff>
    </xdr:from>
    <xdr:ext cx="887498" cy="786984"/>
    <xdr:pic>
      <xdr:nvPicPr>
        <xdr:cNvPr id="136" name="image3.png">
          <a:extLst>
            <a:ext uri="{FF2B5EF4-FFF2-40B4-BE49-F238E27FC236}">
              <a16:creationId xmlns:a16="http://schemas.microsoft.com/office/drawing/2014/main" id="{8E1BFA76-A523-4EDC-9F6F-17485E573993}"/>
            </a:ext>
          </a:extLst>
        </xdr:cNvPr>
        <xdr:cNvPicPr preferRelativeResize="0"/>
      </xdr:nvPicPr>
      <xdr:blipFill>
        <a:blip xmlns:r="http://schemas.openxmlformats.org/officeDocument/2006/relationships" r:embed="rId7" cstate="print"/>
        <a:stretch>
          <a:fillRect/>
        </a:stretch>
      </xdr:blipFill>
      <xdr:spPr>
        <a:xfrm>
          <a:off x="12241967" y="287311"/>
          <a:ext cx="887498" cy="786984"/>
        </a:xfrm>
        <a:prstGeom prst="rect">
          <a:avLst/>
        </a:prstGeom>
        <a:noFill/>
      </xdr:spPr>
    </xdr:pic>
    <xdr:clientData fLocksWithSheet="0"/>
  </xdr:oneCellAnchor>
  <xdr:twoCellAnchor>
    <xdr:from>
      <xdr:col>21</xdr:col>
      <xdr:colOff>399737</xdr:colOff>
      <xdr:row>1</xdr:row>
      <xdr:rowOff>112426</xdr:rowOff>
    </xdr:from>
    <xdr:to>
      <xdr:col>25</xdr:col>
      <xdr:colOff>412230</xdr:colOff>
      <xdr:row>5</xdr:row>
      <xdr:rowOff>62459</xdr:rowOff>
    </xdr:to>
    <xdr:sp macro="" textlink="">
      <xdr:nvSpPr>
        <xdr:cNvPr id="137" name="TextBox 136">
          <a:extLst>
            <a:ext uri="{FF2B5EF4-FFF2-40B4-BE49-F238E27FC236}">
              <a16:creationId xmlns:a16="http://schemas.microsoft.com/office/drawing/2014/main" id="{48BED41C-1868-4E3D-A20B-0CE4FF663E2C}"/>
            </a:ext>
          </a:extLst>
        </xdr:cNvPr>
        <xdr:cNvSpPr txBox="1"/>
      </xdr:nvSpPr>
      <xdr:spPr>
        <a:xfrm>
          <a:off x="13253803" y="299803"/>
          <a:ext cx="2460886" cy="699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JOB SATISFACTION RATING</a:t>
          </a:r>
          <a:endParaRPr lang="en-NG" sz="1600">
            <a:latin typeface="Arial Black" panose="020B0A04020102020204" pitchFamily="34" charset="0"/>
          </a:endParaRPr>
        </a:p>
      </xdr:txBody>
    </xdr:sp>
    <xdr:clientData/>
  </xdr:twoCellAnchor>
  <xdr:twoCellAnchor>
    <xdr:from>
      <xdr:col>24</xdr:col>
      <xdr:colOff>474689</xdr:colOff>
      <xdr:row>0</xdr:row>
      <xdr:rowOff>112427</xdr:rowOff>
    </xdr:from>
    <xdr:to>
      <xdr:col>26</xdr:col>
      <xdr:colOff>587115</xdr:colOff>
      <xdr:row>5</xdr:row>
      <xdr:rowOff>99934</xdr:rowOff>
    </xdr:to>
    <xdr:graphicFrame macro="">
      <xdr:nvGraphicFramePr>
        <xdr:cNvPr id="138" name="Chart 137">
          <a:extLst>
            <a:ext uri="{FF2B5EF4-FFF2-40B4-BE49-F238E27FC236}">
              <a16:creationId xmlns:a16="http://schemas.microsoft.com/office/drawing/2014/main" id="{3828921C-3BD1-4DEA-8AEF-2C08B0B80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349772</xdr:colOff>
      <xdr:row>2</xdr:row>
      <xdr:rowOff>99934</xdr:rowOff>
    </xdr:from>
    <xdr:to>
      <xdr:col>26</xdr:col>
      <xdr:colOff>187379</xdr:colOff>
      <xdr:row>4</xdr:row>
      <xdr:rowOff>74950</xdr:rowOff>
    </xdr:to>
    <xdr:sp macro="" textlink="Rating!$B$6">
      <xdr:nvSpPr>
        <xdr:cNvPr id="139" name="TextBox 138">
          <a:extLst>
            <a:ext uri="{FF2B5EF4-FFF2-40B4-BE49-F238E27FC236}">
              <a16:creationId xmlns:a16="http://schemas.microsoft.com/office/drawing/2014/main" id="{4484FDFF-33A1-408A-8DA0-E105587F5308}"/>
            </a:ext>
          </a:extLst>
        </xdr:cNvPr>
        <xdr:cNvSpPr txBox="1"/>
      </xdr:nvSpPr>
      <xdr:spPr>
        <a:xfrm>
          <a:off x="15652231" y="474688"/>
          <a:ext cx="449705" cy="349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7BB60F-EB18-403A-9A32-56DF8D98B42D}" type="TxLink">
            <a:rPr lang="en-US" sz="1050" b="0" i="0" u="none" strike="noStrike">
              <a:solidFill>
                <a:schemeClr val="tx2"/>
              </a:solidFill>
              <a:latin typeface="Arial Black" panose="020B0A04020102020204" pitchFamily="34" charset="0"/>
              <a:cs typeface="Calibri"/>
            </a:rPr>
            <a:pPr/>
            <a:t>2.6</a:t>
          </a:fld>
          <a:endParaRPr lang="en-NG" sz="1050">
            <a:solidFill>
              <a:schemeClr val="tx2"/>
            </a:solidFill>
            <a:latin typeface="Arial Black" panose="020B0A04020102020204" pitchFamily="34" charset="0"/>
          </a:endParaRPr>
        </a:p>
      </xdr:txBody>
    </xdr:sp>
    <xdr:clientData/>
  </xdr:twoCellAnchor>
  <xdr:twoCellAnchor>
    <xdr:from>
      <xdr:col>26</xdr:col>
      <xdr:colOff>199869</xdr:colOff>
      <xdr:row>1</xdr:row>
      <xdr:rowOff>149903</xdr:rowOff>
    </xdr:from>
    <xdr:to>
      <xdr:col>29</xdr:col>
      <xdr:colOff>274820</xdr:colOff>
      <xdr:row>4</xdr:row>
      <xdr:rowOff>99936</xdr:rowOff>
    </xdr:to>
    <xdr:graphicFrame macro="">
      <xdr:nvGraphicFramePr>
        <xdr:cNvPr id="141" name="Chart 140">
          <a:extLst>
            <a:ext uri="{FF2B5EF4-FFF2-40B4-BE49-F238E27FC236}">
              <a16:creationId xmlns:a16="http://schemas.microsoft.com/office/drawing/2014/main" id="{0EFD05F4-F391-4E21-8A89-036507BCC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324783</xdr:colOff>
      <xdr:row>1</xdr:row>
      <xdr:rowOff>149902</xdr:rowOff>
    </xdr:from>
    <xdr:to>
      <xdr:col>29</xdr:col>
      <xdr:colOff>274816</xdr:colOff>
      <xdr:row>4</xdr:row>
      <xdr:rowOff>87443</xdr:rowOff>
    </xdr:to>
    <xdr:sp macro="" textlink="">
      <xdr:nvSpPr>
        <xdr:cNvPr id="140" name="Freeform: Shape 139">
          <a:extLst>
            <a:ext uri="{FF2B5EF4-FFF2-40B4-BE49-F238E27FC236}">
              <a16:creationId xmlns:a16="http://schemas.microsoft.com/office/drawing/2014/main" id="{0D9945F7-90D4-44CD-8118-90B7EC271A96}"/>
            </a:ext>
          </a:extLst>
        </xdr:cNvPr>
        <xdr:cNvSpPr/>
      </xdr:nvSpPr>
      <xdr:spPr>
        <a:xfrm>
          <a:off x="16239340" y="337279"/>
          <a:ext cx="1786328" cy="499672"/>
        </a:xfrm>
        <a:custGeom>
          <a:avLst/>
          <a:gdLst>
            <a:gd name="connsiteX0" fmla="*/ 0 w 2173664"/>
            <a:gd name="connsiteY0" fmla="*/ 0 h 471340"/>
            <a:gd name="connsiteX1" fmla="*/ 263951 w 2173664"/>
            <a:gd name="connsiteY1" fmla="*/ 0 h 471340"/>
            <a:gd name="connsiteX2" fmla="*/ 201641 w 2173664"/>
            <a:gd name="connsiteY2" fmla="*/ 180036 h 471340"/>
            <a:gd name="connsiteX3" fmla="*/ 1 w 2173664"/>
            <a:gd name="connsiteY3" fmla="*/ 180034 h 471340"/>
            <a:gd name="connsiteX4" fmla="*/ 163132 w 2173664"/>
            <a:gd name="connsiteY4" fmla="*/ 291302 h 471340"/>
            <a:gd name="connsiteX5" fmla="*/ 100820 w 2173664"/>
            <a:gd name="connsiteY5" fmla="*/ 471338 h 471340"/>
            <a:gd name="connsiteX6" fmla="*/ 263951 w 2173664"/>
            <a:gd name="connsiteY6" fmla="*/ 360068 h 471340"/>
            <a:gd name="connsiteX7" fmla="*/ 427081 w 2173664"/>
            <a:gd name="connsiteY7" fmla="*/ 471338 h 471340"/>
            <a:gd name="connsiteX8" fmla="*/ 364769 w 2173664"/>
            <a:gd name="connsiteY8" fmla="*/ 291302 h 471340"/>
            <a:gd name="connsiteX9" fmla="*/ 527900 w 2173664"/>
            <a:gd name="connsiteY9" fmla="*/ 180034 h 471340"/>
            <a:gd name="connsiteX10" fmla="*/ 326260 w 2173664"/>
            <a:gd name="connsiteY10" fmla="*/ 180036 h 471340"/>
            <a:gd name="connsiteX11" fmla="*/ 263951 w 2173664"/>
            <a:gd name="connsiteY11" fmla="*/ 0 h 471340"/>
            <a:gd name="connsiteX12" fmla="*/ 822882 w 2173664"/>
            <a:gd name="connsiteY12" fmla="*/ 0 h 471340"/>
            <a:gd name="connsiteX13" fmla="*/ 760572 w 2173664"/>
            <a:gd name="connsiteY13" fmla="*/ 180036 h 471340"/>
            <a:gd name="connsiteX14" fmla="*/ 558932 w 2173664"/>
            <a:gd name="connsiteY14" fmla="*/ 180034 h 471340"/>
            <a:gd name="connsiteX15" fmla="*/ 722063 w 2173664"/>
            <a:gd name="connsiteY15" fmla="*/ 291302 h 471340"/>
            <a:gd name="connsiteX16" fmla="*/ 659751 w 2173664"/>
            <a:gd name="connsiteY16" fmla="*/ 471338 h 471340"/>
            <a:gd name="connsiteX17" fmla="*/ 822882 w 2173664"/>
            <a:gd name="connsiteY17" fmla="*/ 360068 h 471340"/>
            <a:gd name="connsiteX18" fmla="*/ 986012 w 2173664"/>
            <a:gd name="connsiteY18" fmla="*/ 471338 h 471340"/>
            <a:gd name="connsiteX19" fmla="*/ 923700 w 2173664"/>
            <a:gd name="connsiteY19" fmla="*/ 291302 h 471340"/>
            <a:gd name="connsiteX20" fmla="*/ 1086831 w 2173664"/>
            <a:gd name="connsiteY20" fmla="*/ 180034 h 471340"/>
            <a:gd name="connsiteX21" fmla="*/ 885191 w 2173664"/>
            <a:gd name="connsiteY21" fmla="*/ 180036 h 471340"/>
            <a:gd name="connsiteX22" fmla="*/ 822883 w 2173664"/>
            <a:gd name="connsiteY22" fmla="*/ 0 h 471340"/>
            <a:gd name="connsiteX23" fmla="*/ 1381813 w 2173664"/>
            <a:gd name="connsiteY23" fmla="*/ 0 h 471340"/>
            <a:gd name="connsiteX24" fmla="*/ 1319503 w 2173664"/>
            <a:gd name="connsiteY24" fmla="*/ 180036 h 471340"/>
            <a:gd name="connsiteX25" fmla="*/ 1117863 w 2173664"/>
            <a:gd name="connsiteY25" fmla="*/ 180034 h 471340"/>
            <a:gd name="connsiteX26" fmla="*/ 1280994 w 2173664"/>
            <a:gd name="connsiteY26" fmla="*/ 291302 h 471340"/>
            <a:gd name="connsiteX27" fmla="*/ 1218682 w 2173664"/>
            <a:gd name="connsiteY27" fmla="*/ 471338 h 471340"/>
            <a:gd name="connsiteX28" fmla="*/ 1381813 w 2173664"/>
            <a:gd name="connsiteY28" fmla="*/ 360068 h 471340"/>
            <a:gd name="connsiteX29" fmla="*/ 1544943 w 2173664"/>
            <a:gd name="connsiteY29" fmla="*/ 471338 h 471340"/>
            <a:gd name="connsiteX30" fmla="*/ 1482631 w 2173664"/>
            <a:gd name="connsiteY30" fmla="*/ 291302 h 471340"/>
            <a:gd name="connsiteX31" fmla="*/ 1645762 w 2173664"/>
            <a:gd name="connsiteY31" fmla="*/ 180034 h 471340"/>
            <a:gd name="connsiteX32" fmla="*/ 1444122 w 2173664"/>
            <a:gd name="connsiteY32" fmla="*/ 180036 h 471340"/>
            <a:gd name="connsiteX33" fmla="*/ 1381813 w 2173664"/>
            <a:gd name="connsiteY33" fmla="*/ 0 h 471340"/>
            <a:gd name="connsiteX34" fmla="*/ 1909714 w 2173664"/>
            <a:gd name="connsiteY34" fmla="*/ 0 h 471340"/>
            <a:gd name="connsiteX35" fmla="*/ 1847404 w 2173664"/>
            <a:gd name="connsiteY35" fmla="*/ 180036 h 471340"/>
            <a:gd name="connsiteX36" fmla="*/ 1645764 w 2173664"/>
            <a:gd name="connsiteY36" fmla="*/ 180034 h 471340"/>
            <a:gd name="connsiteX37" fmla="*/ 1808895 w 2173664"/>
            <a:gd name="connsiteY37" fmla="*/ 291302 h 471340"/>
            <a:gd name="connsiteX38" fmla="*/ 1746583 w 2173664"/>
            <a:gd name="connsiteY38" fmla="*/ 471338 h 471340"/>
            <a:gd name="connsiteX39" fmla="*/ 1909714 w 2173664"/>
            <a:gd name="connsiteY39" fmla="*/ 360068 h 471340"/>
            <a:gd name="connsiteX40" fmla="*/ 2072844 w 2173664"/>
            <a:gd name="connsiteY40" fmla="*/ 471338 h 471340"/>
            <a:gd name="connsiteX41" fmla="*/ 2010532 w 2173664"/>
            <a:gd name="connsiteY41" fmla="*/ 291302 h 471340"/>
            <a:gd name="connsiteX42" fmla="*/ 2173663 w 2173664"/>
            <a:gd name="connsiteY42" fmla="*/ 180034 h 471340"/>
            <a:gd name="connsiteX43" fmla="*/ 1972023 w 2173664"/>
            <a:gd name="connsiteY43" fmla="*/ 180036 h 471340"/>
            <a:gd name="connsiteX44" fmla="*/ 1909714 w 2173664"/>
            <a:gd name="connsiteY44" fmla="*/ 0 h 471340"/>
            <a:gd name="connsiteX45" fmla="*/ 2173664 w 2173664"/>
            <a:gd name="connsiteY45" fmla="*/ 0 h 471340"/>
            <a:gd name="connsiteX46" fmla="*/ 2173664 w 2173664"/>
            <a:gd name="connsiteY46" fmla="*/ 471340 h 471340"/>
            <a:gd name="connsiteX47" fmla="*/ 0 w 2173664"/>
            <a:gd name="connsiteY47" fmla="*/ 471340 h 4713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173664" h="471340">
              <a:moveTo>
                <a:pt x="0" y="0"/>
              </a:moveTo>
              <a:lnTo>
                <a:pt x="263951" y="0"/>
              </a:lnTo>
              <a:lnTo>
                <a:pt x="201641" y="180036"/>
              </a:lnTo>
              <a:lnTo>
                <a:pt x="1" y="180034"/>
              </a:lnTo>
              <a:lnTo>
                <a:pt x="163132" y="291302"/>
              </a:lnTo>
              <a:lnTo>
                <a:pt x="100820" y="471338"/>
              </a:lnTo>
              <a:lnTo>
                <a:pt x="263951" y="360068"/>
              </a:lnTo>
              <a:lnTo>
                <a:pt x="427081" y="471338"/>
              </a:lnTo>
              <a:lnTo>
                <a:pt x="364769" y="291302"/>
              </a:lnTo>
              <a:lnTo>
                <a:pt x="527900" y="180034"/>
              </a:lnTo>
              <a:lnTo>
                <a:pt x="326260" y="180036"/>
              </a:lnTo>
              <a:lnTo>
                <a:pt x="263951" y="0"/>
              </a:lnTo>
              <a:lnTo>
                <a:pt x="822882" y="0"/>
              </a:lnTo>
              <a:lnTo>
                <a:pt x="760572" y="180036"/>
              </a:lnTo>
              <a:lnTo>
                <a:pt x="558932" y="180034"/>
              </a:lnTo>
              <a:lnTo>
                <a:pt x="722063" y="291302"/>
              </a:lnTo>
              <a:lnTo>
                <a:pt x="659751" y="471338"/>
              </a:lnTo>
              <a:lnTo>
                <a:pt x="822882" y="360068"/>
              </a:lnTo>
              <a:lnTo>
                <a:pt x="986012" y="471338"/>
              </a:lnTo>
              <a:lnTo>
                <a:pt x="923700" y="291302"/>
              </a:lnTo>
              <a:lnTo>
                <a:pt x="1086831" y="180034"/>
              </a:lnTo>
              <a:lnTo>
                <a:pt x="885191" y="180036"/>
              </a:lnTo>
              <a:lnTo>
                <a:pt x="822883" y="0"/>
              </a:lnTo>
              <a:lnTo>
                <a:pt x="1381813" y="0"/>
              </a:lnTo>
              <a:lnTo>
                <a:pt x="1319503" y="180036"/>
              </a:lnTo>
              <a:lnTo>
                <a:pt x="1117863" y="180034"/>
              </a:lnTo>
              <a:lnTo>
                <a:pt x="1280994" y="291302"/>
              </a:lnTo>
              <a:lnTo>
                <a:pt x="1218682" y="471338"/>
              </a:lnTo>
              <a:lnTo>
                <a:pt x="1381813" y="360068"/>
              </a:lnTo>
              <a:lnTo>
                <a:pt x="1544943" y="471338"/>
              </a:lnTo>
              <a:lnTo>
                <a:pt x="1482631" y="291302"/>
              </a:lnTo>
              <a:lnTo>
                <a:pt x="1645762" y="180034"/>
              </a:lnTo>
              <a:lnTo>
                <a:pt x="1444122" y="180036"/>
              </a:lnTo>
              <a:lnTo>
                <a:pt x="1381813" y="0"/>
              </a:lnTo>
              <a:lnTo>
                <a:pt x="1909714" y="0"/>
              </a:lnTo>
              <a:lnTo>
                <a:pt x="1847404" y="180036"/>
              </a:lnTo>
              <a:lnTo>
                <a:pt x="1645764" y="180034"/>
              </a:lnTo>
              <a:lnTo>
                <a:pt x="1808895" y="291302"/>
              </a:lnTo>
              <a:lnTo>
                <a:pt x="1746583" y="471338"/>
              </a:lnTo>
              <a:lnTo>
                <a:pt x="1909714" y="360068"/>
              </a:lnTo>
              <a:lnTo>
                <a:pt x="2072844" y="471338"/>
              </a:lnTo>
              <a:lnTo>
                <a:pt x="2010532" y="291302"/>
              </a:lnTo>
              <a:lnTo>
                <a:pt x="2173663" y="180034"/>
              </a:lnTo>
              <a:lnTo>
                <a:pt x="1972023" y="180036"/>
              </a:lnTo>
              <a:lnTo>
                <a:pt x="1909714" y="0"/>
              </a:lnTo>
              <a:lnTo>
                <a:pt x="2173664" y="0"/>
              </a:lnTo>
              <a:lnTo>
                <a:pt x="2173664" y="471340"/>
              </a:lnTo>
              <a:lnTo>
                <a:pt x="0" y="471340"/>
              </a:lnTo>
              <a:close/>
            </a:path>
          </a:pathLst>
        </a:cu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5</xdr:col>
      <xdr:colOff>600812</xdr:colOff>
      <xdr:row>19</xdr:row>
      <xdr:rowOff>112426</xdr:rowOff>
    </xdr:from>
    <xdr:to>
      <xdr:col>12</xdr:col>
      <xdr:colOff>314873</xdr:colOff>
      <xdr:row>29</xdr:row>
      <xdr:rowOff>1874</xdr:rowOff>
    </xdr:to>
    <xdr:grpSp>
      <xdr:nvGrpSpPr>
        <xdr:cNvPr id="30" name="Group 29">
          <a:extLst>
            <a:ext uri="{FF2B5EF4-FFF2-40B4-BE49-F238E27FC236}">
              <a16:creationId xmlns:a16="http://schemas.microsoft.com/office/drawing/2014/main" id="{2024C37F-65E2-40F1-8338-F0131B4B05DA}"/>
            </a:ext>
          </a:extLst>
        </xdr:cNvPr>
        <xdr:cNvGrpSpPr/>
      </xdr:nvGrpSpPr>
      <xdr:grpSpPr>
        <a:xfrm>
          <a:off x="3648812" y="3628512"/>
          <a:ext cx="3981261" cy="1740019"/>
          <a:chOff x="3661304" y="3672590"/>
          <a:chExt cx="3998749" cy="1763218"/>
        </a:xfrm>
      </xdr:grpSpPr>
      <xdr:graphicFrame macro="">
        <xdr:nvGraphicFramePr>
          <xdr:cNvPr id="52" name="Chart 51">
            <a:extLst>
              <a:ext uri="{FF2B5EF4-FFF2-40B4-BE49-F238E27FC236}">
                <a16:creationId xmlns:a16="http://schemas.microsoft.com/office/drawing/2014/main" id="{822BC069-7A50-4151-AAAF-F27DDF318952}"/>
              </a:ext>
            </a:extLst>
          </xdr:cNvPr>
          <xdr:cNvGraphicFramePr>
            <a:graphicFrameLocks/>
          </xdr:cNvGraphicFramePr>
        </xdr:nvGraphicFramePr>
        <xdr:xfrm>
          <a:off x="3661304" y="3797508"/>
          <a:ext cx="1912620" cy="16383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3" name="Chart 52">
            <a:extLst>
              <a:ext uri="{FF2B5EF4-FFF2-40B4-BE49-F238E27FC236}">
                <a16:creationId xmlns:a16="http://schemas.microsoft.com/office/drawing/2014/main" id="{65DE4495-C9C7-4A9C-B9FC-5D3D8D6597D3}"/>
              </a:ext>
            </a:extLst>
          </xdr:cNvPr>
          <xdr:cNvGraphicFramePr>
            <a:graphicFrameLocks/>
          </xdr:cNvGraphicFramePr>
        </xdr:nvGraphicFramePr>
        <xdr:xfrm>
          <a:off x="5747433" y="3672590"/>
          <a:ext cx="1912620" cy="1638300"/>
        </xdr:xfrm>
        <a:graphic>
          <a:graphicData uri="http://schemas.openxmlformats.org/drawingml/2006/chart">
            <c:chart xmlns:c="http://schemas.openxmlformats.org/drawingml/2006/chart" xmlns:r="http://schemas.openxmlformats.org/officeDocument/2006/relationships" r:id="rId11"/>
          </a:graphicData>
        </a:graphic>
      </xdr:graphicFrame>
      <xdr:sp macro="" textlink="Gender!$B$9">
        <xdr:nvSpPr>
          <xdr:cNvPr id="54" name="TextBox 53">
            <a:extLst>
              <a:ext uri="{FF2B5EF4-FFF2-40B4-BE49-F238E27FC236}">
                <a16:creationId xmlns:a16="http://schemas.microsoft.com/office/drawing/2014/main" id="{C7DEE44A-6167-4C67-BB4D-2DCB961A6694}"/>
              </a:ext>
            </a:extLst>
          </xdr:cNvPr>
          <xdr:cNvSpPr txBox="1"/>
        </xdr:nvSpPr>
        <xdr:spPr>
          <a:xfrm>
            <a:off x="4109803" y="4147279"/>
            <a:ext cx="824459" cy="549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7940B0-2B2A-45ED-8ED9-B2B8FE54D480}" type="TxLink">
              <a:rPr lang="en-US" sz="1900" b="0" i="0" u="none" strike="noStrike">
                <a:solidFill>
                  <a:srgbClr val="000000"/>
                </a:solidFill>
                <a:latin typeface="Arial Black" panose="020B0A04020102020204" pitchFamily="34" charset="0"/>
                <a:cs typeface="Calibri"/>
              </a:rPr>
              <a:pPr/>
              <a:t>588</a:t>
            </a:fld>
            <a:endParaRPr lang="en-NG" sz="1900">
              <a:solidFill>
                <a:schemeClr val="accent1">
                  <a:lumMod val="50000"/>
                </a:schemeClr>
              </a:solidFill>
              <a:latin typeface="Arial Black" panose="020B0A04020102020204" pitchFamily="34" charset="0"/>
            </a:endParaRPr>
          </a:p>
        </xdr:txBody>
      </xdr:sp>
      <xdr:sp macro="" textlink="Gender!$B$10">
        <xdr:nvSpPr>
          <xdr:cNvPr id="55" name="TextBox 54">
            <a:extLst>
              <a:ext uri="{FF2B5EF4-FFF2-40B4-BE49-F238E27FC236}">
                <a16:creationId xmlns:a16="http://schemas.microsoft.com/office/drawing/2014/main" id="{0E688137-EBC5-4FAB-9223-E4A0B6BBF72A}"/>
              </a:ext>
            </a:extLst>
          </xdr:cNvPr>
          <xdr:cNvSpPr txBox="1"/>
        </xdr:nvSpPr>
        <xdr:spPr>
          <a:xfrm>
            <a:off x="6383311" y="4272196"/>
            <a:ext cx="824459" cy="549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7EAE45-A97F-4375-82D0-EA88EBAA635F}" type="TxLink">
              <a:rPr lang="en-US" sz="1900" b="0" i="0" u="none" strike="noStrike">
                <a:solidFill>
                  <a:srgbClr val="000000"/>
                </a:solidFill>
                <a:latin typeface="Arial Black" panose="020B0A04020102020204" pitchFamily="34" charset="0"/>
                <a:cs typeface="Calibri"/>
              </a:rPr>
              <a:pPr/>
              <a:t>882</a:t>
            </a:fld>
            <a:endParaRPr lang="en-NG" sz="1900">
              <a:solidFill>
                <a:schemeClr val="accent1">
                  <a:lumMod val="50000"/>
                </a:schemeClr>
              </a:solidFill>
              <a:latin typeface="Arial Black" panose="020B0A04020102020204" pitchFamily="34" charset="0"/>
            </a:endParaRPr>
          </a:p>
        </xdr:txBody>
      </xdr:sp>
    </xdr:grpSp>
    <xdr:clientData/>
  </xdr:twoCellAnchor>
  <xdr:twoCellAnchor>
    <xdr:from>
      <xdr:col>6</xdr:col>
      <xdr:colOff>24984</xdr:colOff>
      <xdr:row>13</xdr:row>
      <xdr:rowOff>49966</xdr:rowOff>
    </xdr:from>
    <xdr:to>
      <xdr:col>11</xdr:col>
      <xdr:colOff>162393</xdr:colOff>
      <xdr:row>15</xdr:row>
      <xdr:rowOff>-1</xdr:rowOff>
    </xdr:to>
    <xdr:sp macro="" textlink="">
      <xdr:nvSpPr>
        <xdr:cNvPr id="33" name="TextBox 32">
          <a:extLst>
            <a:ext uri="{FF2B5EF4-FFF2-40B4-BE49-F238E27FC236}">
              <a16:creationId xmlns:a16="http://schemas.microsoft.com/office/drawing/2014/main" id="{2B3335FC-5579-4523-A39F-DA09E2F57E3B}"/>
            </a:ext>
          </a:extLst>
        </xdr:cNvPr>
        <xdr:cNvSpPr txBox="1"/>
      </xdr:nvSpPr>
      <xdr:spPr>
        <a:xfrm>
          <a:off x="3697574" y="2485868"/>
          <a:ext cx="3197901" cy="32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00000"/>
              </a:solidFill>
              <a:latin typeface="Arial Black" panose="020B0A04020102020204" pitchFamily="34" charset="0"/>
            </a:rPr>
            <a:t>Total Employee</a:t>
          </a:r>
          <a:r>
            <a:rPr lang="en-US" sz="1600" baseline="0">
              <a:solidFill>
                <a:srgbClr val="C00000"/>
              </a:solidFill>
              <a:latin typeface="Arial Black" panose="020B0A04020102020204" pitchFamily="34" charset="0"/>
            </a:rPr>
            <a:t> by Gender</a:t>
          </a:r>
          <a:endParaRPr lang="en-NG" sz="1600">
            <a:solidFill>
              <a:srgbClr val="C00000"/>
            </a:solidFill>
            <a:latin typeface="Arial Black" panose="020B0A04020102020204" pitchFamily="34" charset="0"/>
          </a:endParaRPr>
        </a:p>
      </xdr:txBody>
    </xdr:sp>
    <xdr:clientData/>
  </xdr:twoCellAnchor>
  <xdr:twoCellAnchor editAs="oneCell">
    <xdr:from>
      <xdr:col>7</xdr:col>
      <xdr:colOff>198120</xdr:colOff>
      <xdr:row>16</xdr:row>
      <xdr:rowOff>30480</xdr:rowOff>
    </xdr:from>
    <xdr:to>
      <xdr:col>10</xdr:col>
      <xdr:colOff>533400</xdr:colOff>
      <xdr:row>20</xdr:row>
      <xdr:rowOff>0</xdr:rowOff>
    </xdr:to>
    <mc:AlternateContent xmlns:mc="http://schemas.openxmlformats.org/markup-compatibility/2006" xmlns:a14="http://schemas.microsoft.com/office/drawing/2010/main">
      <mc:Choice Requires="a14">
        <xdr:graphicFrame macro="">
          <xdr:nvGraphicFramePr>
            <xdr:cNvPr id="59" name="Gender 3">
              <a:extLst>
                <a:ext uri="{FF2B5EF4-FFF2-40B4-BE49-F238E27FC236}">
                  <a16:creationId xmlns:a16="http://schemas.microsoft.com/office/drawing/2014/main" id="{E49EDA84-F1EB-4C1F-B410-21AEA8392A35}"/>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465320" y="2991394"/>
              <a:ext cx="2164080" cy="7097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99934</xdr:colOff>
      <xdr:row>15</xdr:row>
      <xdr:rowOff>74952</xdr:rowOff>
    </xdr:from>
    <xdr:to>
      <xdr:col>21</xdr:col>
      <xdr:colOff>149901</xdr:colOff>
      <xdr:row>29</xdr:row>
      <xdr:rowOff>167640</xdr:rowOff>
    </xdr:to>
    <xdr:graphicFrame macro="">
      <xdr:nvGraphicFramePr>
        <xdr:cNvPr id="60" name="Chart 59">
          <a:extLst>
            <a:ext uri="{FF2B5EF4-FFF2-40B4-BE49-F238E27FC236}">
              <a16:creationId xmlns:a16="http://schemas.microsoft.com/office/drawing/2014/main" id="{97F5333E-4303-43B6-B890-6673CE832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137409</xdr:colOff>
      <xdr:row>13</xdr:row>
      <xdr:rowOff>12491</xdr:rowOff>
    </xdr:from>
    <xdr:to>
      <xdr:col>20</xdr:col>
      <xdr:colOff>62459</xdr:colOff>
      <xdr:row>15</xdr:row>
      <xdr:rowOff>0</xdr:rowOff>
    </xdr:to>
    <xdr:sp macro="" textlink="">
      <xdr:nvSpPr>
        <xdr:cNvPr id="61" name="TextBox 60">
          <a:extLst>
            <a:ext uri="{FF2B5EF4-FFF2-40B4-BE49-F238E27FC236}">
              <a16:creationId xmlns:a16="http://schemas.microsoft.com/office/drawing/2014/main" id="{E97218DC-26F4-492D-9D7A-1E173706BEF9}"/>
            </a:ext>
          </a:extLst>
        </xdr:cNvPr>
        <xdr:cNvSpPr txBox="1"/>
      </xdr:nvSpPr>
      <xdr:spPr>
        <a:xfrm>
          <a:off x="8094688" y="2448393"/>
          <a:ext cx="4209738" cy="362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00000"/>
              </a:solidFill>
              <a:latin typeface="Arial Black" panose="020B0A04020102020204" pitchFamily="34" charset="0"/>
            </a:rPr>
            <a:t>Education</a:t>
          </a:r>
          <a:r>
            <a:rPr lang="en-US" sz="1600" baseline="0">
              <a:solidFill>
                <a:srgbClr val="C00000"/>
              </a:solidFill>
              <a:latin typeface="Arial Black" panose="020B0A04020102020204" pitchFamily="34" charset="0"/>
            </a:rPr>
            <a:t> wise Attrition</a:t>
          </a:r>
          <a:endParaRPr lang="en-NG" sz="1600">
            <a:solidFill>
              <a:srgbClr val="C00000"/>
            </a:solidFill>
            <a:latin typeface="Arial Black" panose="020B0A04020102020204" pitchFamily="34" charset="0"/>
          </a:endParaRPr>
        </a:p>
      </xdr:txBody>
    </xdr:sp>
    <xdr:clientData/>
  </xdr:twoCellAnchor>
  <xdr:twoCellAnchor>
    <xdr:from>
      <xdr:col>21</xdr:col>
      <xdr:colOff>499673</xdr:colOff>
      <xdr:row>15</xdr:row>
      <xdr:rowOff>124919</xdr:rowOff>
    </xdr:from>
    <xdr:to>
      <xdr:col>29</xdr:col>
      <xdr:colOff>237345</xdr:colOff>
      <xdr:row>29</xdr:row>
      <xdr:rowOff>91440</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FF6F5A0D-137A-459C-9519-8883C922AC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3301273" y="2868119"/>
              <a:ext cx="4614472" cy="252684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63663</xdr:colOff>
      <xdr:row>13</xdr:row>
      <xdr:rowOff>49967</xdr:rowOff>
    </xdr:from>
    <xdr:to>
      <xdr:col>28</xdr:col>
      <xdr:colOff>600811</xdr:colOff>
      <xdr:row>15</xdr:row>
      <xdr:rowOff>37476</xdr:rowOff>
    </xdr:to>
    <xdr:sp macro="" textlink="">
      <xdr:nvSpPr>
        <xdr:cNvPr id="65" name="TextBox 64">
          <a:extLst>
            <a:ext uri="{FF2B5EF4-FFF2-40B4-BE49-F238E27FC236}">
              <a16:creationId xmlns:a16="http://schemas.microsoft.com/office/drawing/2014/main" id="{CB24AC99-F231-4E53-93BF-3F7F921A0CAA}"/>
            </a:ext>
          </a:extLst>
        </xdr:cNvPr>
        <xdr:cNvSpPr txBox="1"/>
      </xdr:nvSpPr>
      <xdr:spPr>
        <a:xfrm>
          <a:off x="13529827" y="2485869"/>
          <a:ext cx="4209738" cy="362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rgbClr val="C00000"/>
              </a:solidFill>
              <a:latin typeface="Arial Black" panose="020B0A04020102020204" pitchFamily="34" charset="0"/>
            </a:rPr>
            <a:t>Attrition by Job role</a:t>
          </a:r>
          <a:endParaRPr lang="en-NG" sz="1600">
            <a:solidFill>
              <a:srgbClr val="C00000"/>
            </a:solidFill>
            <a:latin typeface="Arial Black" panose="020B0A04020102020204" pitchFamily="34" charset="0"/>
          </a:endParaRPr>
        </a:p>
      </xdr:txBody>
    </xdr:sp>
    <xdr:clientData/>
  </xdr:twoCellAnchor>
  <xdr:twoCellAnchor>
    <xdr:from>
      <xdr:col>5</xdr:col>
      <xdr:colOff>537883</xdr:colOff>
      <xdr:row>32</xdr:row>
      <xdr:rowOff>150308</xdr:rowOff>
    </xdr:from>
    <xdr:to>
      <xdr:col>12</xdr:col>
      <xdr:colOff>358588</xdr:colOff>
      <xdr:row>46</xdr:row>
      <xdr:rowOff>165249</xdr:rowOff>
    </xdr:to>
    <xdr:graphicFrame macro="">
      <xdr:nvGraphicFramePr>
        <xdr:cNvPr id="66" name="Chart 65">
          <a:extLst>
            <a:ext uri="{FF2B5EF4-FFF2-40B4-BE49-F238E27FC236}">
              <a16:creationId xmlns:a16="http://schemas.microsoft.com/office/drawing/2014/main" id="{4E7D96B0-6B9D-433F-AB49-8CBA03178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45720</xdr:colOff>
      <xdr:row>30</xdr:row>
      <xdr:rowOff>121920</xdr:rowOff>
    </xdr:from>
    <xdr:to>
      <xdr:col>12</xdr:col>
      <xdr:colOff>580370</xdr:colOff>
      <xdr:row>32</xdr:row>
      <xdr:rowOff>109429</xdr:rowOff>
    </xdr:to>
    <xdr:sp macro="" textlink="">
      <xdr:nvSpPr>
        <xdr:cNvPr id="67" name="TextBox 66">
          <a:extLst>
            <a:ext uri="{FF2B5EF4-FFF2-40B4-BE49-F238E27FC236}">
              <a16:creationId xmlns:a16="http://schemas.microsoft.com/office/drawing/2014/main" id="{8D22BAC6-54F8-475A-8C89-71C0C8404B0F}"/>
            </a:ext>
          </a:extLst>
        </xdr:cNvPr>
        <xdr:cNvSpPr txBox="1"/>
      </xdr:nvSpPr>
      <xdr:spPr>
        <a:xfrm>
          <a:off x="3703320" y="5608320"/>
          <a:ext cx="4192250" cy="353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00000"/>
              </a:solidFill>
              <a:latin typeface="Arial Black" panose="020B0A04020102020204" pitchFamily="34" charset="0"/>
            </a:rPr>
            <a:t>Department</a:t>
          </a:r>
          <a:r>
            <a:rPr lang="en-US" sz="1600" baseline="0">
              <a:solidFill>
                <a:srgbClr val="C00000"/>
              </a:solidFill>
              <a:latin typeface="Arial Black" panose="020B0A04020102020204" pitchFamily="34" charset="0"/>
            </a:rPr>
            <a:t> wise Attrition</a:t>
          </a:r>
          <a:endParaRPr lang="en-NG" sz="1600">
            <a:solidFill>
              <a:srgbClr val="C00000"/>
            </a:solidFill>
            <a:latin typeface="Arial Black" panose="020B0A04020102020204" pitchFamily="34" charset="0"/>
          </a:endParaRPr>
        </a:p>
      </xdr:txBody>
    </xdr:sp>
    <xdr:clientData/>
  </xdr:twoCellAnchor>
  <xdr:twoCellAnchor>
    <xdr:from>
      <xdr:col>12</xdr:col>
      <xdr:colOff>594360</xdr:colOff>
      <xdr:row>33</xdr:row>
      <xdr:rowOff>0</xdr:rowOff>
    </xdr:from>
    <xdr:to>
      <xdr:col>19</xdr:col>
      <xdr:colOff>121920</xdr:colOff>
      <xdr:row>46</xdr:row>
      <xdr:rowOff>121920</xdr:rowOff>
    </xdr:to>
    <xdr:graphicFrame macro="">
      <xdr:nvGraphicFramePr>
        <xdr:cNvPr id="68" name="Chart 67">
          <a:extLst>
            <a:ext uri="{FF2B5EF4-FFF2-40B4-BE49-F238E27FC236}">
              <a16:creationId xmlns:a16="http://schemas.microsoft.com/office/drawing/2014/main" id="{941C975E-A4FF-451C-AB56-92B5418A4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76200</xdr:colOff>
      <xdr:row>30</xdr:row>
      <xdr:rowOff>121920</xdr:rowOff>
    </xdr:from>
    <xdr:to>
      <xdr:col>20</xdr:col>
      <xdr:colOff>1250</xdr:colOff>
      <xdr:row>32</xdr:row>
      <xdr:rowOff>109429</xdr:rowOff>
    </xdr:to>
    <xdr:sp macro="" textlink="">
      <xdr:nvSpPr>
        <xdr:cNvPr id="69" name="TextBox 68">
          <a:extLst>
            <a:ext uri="{FF2B5EF4-FFF2-40B4-BE49-F238E27FC236}">
              <a16:creationId xmlns:a16="http://schemas.microsoft.com/office/drawing/2014/main" id="{A3D42F60-6CB4-443F-8BC4-5BA08C3528B5}"/>
            </a:ext>
          </a:extLst>
        </xdr:cNvPr>
        <xdr:cNvSpPr txBox="1"/>
      </xdr:nvSpPr>
      <xdr:spPr>
        <a:xfrm>
          <a:off x="8001000" y="5608320"/>
          <a:ext cx="4192250" cy="353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00000"/>
              </a:solidFill>
              <a:latin typeface="Arial Black" panose="020B0A04020102020204" pitchFamily="34" charset="0"/>
            </a:rPr>
            <a:t>Attrtion by Age group</a:t>
          </a:r>
          <a:endParaRPr lang="en-NG" sz="1600">
            <a:solidFill>
              <a:srgbClr val="C00000"/>
            </a:solidFill>
            <a:latin typeface="Arial Black" panose="020B0A04020102020204" pitchFamily="34" charset="0"/>
          </a:endParaRPr>
        </a:p>
      </xdr:txBody>
    </xdr:sp>
    <xdr:clientData/>
  </xdr:twoCellAnchor>
  <xdr:twoCellAnchor>
    <xdr:from>
      <xdr:col>19</xdr:col>
      <xdr:colOff>320040</xdr:colOff>
      <xdr:row>32</xdr:row>
      <xdr:rowOff>167640</xdr:rowOff>
    </xdr:from>
    <xdr:to>
      <xdr:col>24</xdr:col>
      <xdr:colOff>289560</xdr:colOff>
      <xdr:row>46</xdr:row>
      <xdr:rowOff>106680</xdr:rowOff>
    </xdr:to>
    <mc:AlternateContent xmlns:mc="http://schemas.openxmlformats.org/markup-compatibility/2006">
      <mc:Choice xmlns:cx2="http://schemas.microsoft.com/office/drawing/2015/10/21/chartex" Requires="cx2">
        <xdr:graphicFrame macro="">
          <xdr:nvGraphicFramePr>
            <xdr:cNvPr id="70" name="Chart 69">
              <a:extLst>
                <a:ext uri="{FF2B5EF4-FFF2-40B4-BE49-F238E27FC236}">
                  <a16:creationId xmlns:a16="http://schemas.microsoft.com/office/drawing/2014/main" id="{FBC4004A-F5C4-4BD2-B38A-AAE5EAD37D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902440" y="6019800"/>
              <a:ext cx="3017520" cy="249936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284518</xdr:colOff>
      <xdr:row>30</xdr:row>
      <xdr:rowOff>79198</xdr:rowOff>
    </xdr:from>
    <xdr:to>
      <xdr:col>26</xdr:col>
      <xdr:colOff>209568</xdr:colOff>
      <xdr:row>32</xdr:row>
      <xdr:rowOff>66707</xdr:rowOff>
    </xdr:to>
    <xdr:sp macro="" textlink="">
      <xdr:nvSpPr>
        <xdr:cNvPr id="71" name="TextBox 70">
          <a:extLst>
            <a:ext uri="{FF2B5EF4-FFF2-40B4-BE49-F238E27FC236}">
              <a16:creationId xmlns:a16="http://schemas.microsoft.com/office/drawing/2014/main" id="{3CE36841-156C-40A3-8252-7382E3B6B805}"/>
            </a:ext>
          </a:extLst>
        </xdr:cNvPr>
        <xdr:cNvSpPr txBox="1"/>
      </xdr:nvSpPr>
      <xdr:spPr>
        <a:xfrm>
          <a:off x="11866918" y="5565598"/>
          <a:ext cx="4192250" cy="353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00000"/>
              </a:solidFill>
              <a:latin typeface="Arial Black" panose="020B0A04020102020204" pitchFamily="34" charset="0"/>
            </a:rPr>
            <a:t>Attrtion by Marital Status</a:t>
          </a:r>
          <a:endParaRPr lang="en-NG" sz="1600">
            <a:solidFill>
              <a:srgbClr val="C00000"/>
            </a:solidFill>
            <a:latin typeface="Arial Black" panose="020B0A04020102020204" pitchFamily="34" charset="0"/>
          </a:endParaRPr>
        </a:p>
      </xdr:txBody>
    </xdr:sp>
    <xdr:clientData/>
  </xdr:twoCellAnchor>
  <xdr:twoCellAnchor editAs="oneCell">
    <xdr:from>
      <xdr:col>27</xdr:col>
      <xdr:colOff>198120</xdr:colOff>
      <xdr:row>33</xdr:row>
      <xdr:rowOff>45721</xdr:rowOff>
    </xdr:from>
    <xdr:to>
      <xdr:col>29</xdr:col>
      <xdr:colOff>289560</xdr:colOff>
      <xdr:row>45</xdr:row>
      <xdr:rowOff>167641</xdr:rowOff>
    </xdr:to>
    <mc:AlternateContent xmlns:mc="http://schemas.openxmlformats.org/markup-compatibility/2006" xmlns:a14="http://schemas.microsoft.com/office/drawing/2010/main">
      <mc:Choice Requires="a14">
        <xdr:graphicFrame macro="">
          <xdr:nvGraphicFramePr>
            <xdr:cNvPr id="72" name="Department 1">
              <a:extLst>
                <a:ext uri="{FF2B5EF4-FFF2-40B4-BE49-F238E27FC236}">
                  <a16:creationId xmlns:a16="http://schemas.microsoft.com/office/drawing/2014/main" id="{022C6F09-A896-443A-B408-19BE13A8A33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657320" y="6152607"/>
              <a:ext cx="1310640" cy="23426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472440</xdr:colOff>
      <xdr:row>33</xdr:row>
      <xdr:rowOff>60960</xdr:rowOff>
    </xdr:from>
    <xdr:to>
      <xdr:col>27</xdr:col>
      <xdr:colOff>167640</xdr:colOff>
      <xdr:row>46</xdr:row>
      <xdr:rowOff>15239</xdr:rowOff>
    </xdr:to>
    <mc:AlternateContent xmlns:mc="http://schemas.openxmlformats.org/markup-compatibility/2006" xmlns:a14="http://schemas.microsoft.com/office/drawing/2010/main">
      <mc:Choice Requires="a14">
        <xdr:graphicFrame macro="">
          <xdr:nvGraphicFramePr>
            <xdr:cNvPr id="73" name="Education Field 3">
              <a:extLst>
                <a:ext uri="{FF2B5EF4-FFF2-40B4-BE49-F238E27FC236}">
                  <a16:creationId xmlns:a16="http://schemas.microsoft.com/office/drawing/2014/main" id="{BA3B61B7-F0E6-456D-9806-524500179B5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5102840" y="6167846"/>
              <a:ext cx="1524000" cy="236002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579120</xdr:colOff>
      <xdr:row>30</xdr:row>
      <xdr:rowOff>137160</xdr:rowOff>
    </xdr:from>
    <xdr:to>
      <xdr:col>27</xdr:col>
      <xdr:colOff>137160</xdr:colOff>
      <xdr:row>32</xdr:row>
      <xdr:rowOff>30480</xdr:rowOff>
    </xdr:to>
    <xdr:sp macro="" textlink="">
      <xdr:nvSpPr>
        <xdr:cNvPr id="34" name="TextBox 33">
          <a:extLst>
            <a:ext uri="{FF2B5EF4-FFF2-40B4-BE49-F238E27FC236}">
              <a16:creationId xmlns:a16="http://schemas.microsoft.com/office/drawing/2014/main" id="{7927414E-2597-4A7D-9921-1B71892CD105}"/>
            </a:ext>
          </a:extLst>
        </xdr:cNvPr>
        <xdr:cNvSpPr txBox="1"/>
      </xdr:nvSpPr>
      <xdr:spPr>
        <a:xfrm>
          <a:off x="15209520" y="5623560"/>
          <a:ext cx="1386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Education Field</a:t>
          </a:r>
          <a:endParaRPr lang="en-NG" sz="1200" b="1"/>
        </a:p>
      </xdr:txBody>
    </xdr:sp>
    <xdr:clientData/>
  </xdr:twoCellAnchor>
  <xdr:twoCellAnchor>
    <xdr:from>
      <xdr:col>27</xdr:col>
      <xdr:colOff>86398</xdr:colOff>
      <xdr:row>30</xdr:row>
      <xdr:rowOff>109678</xdr:rowOff>
    </xdr:from>
    <xdr:to>
      <xdr:col>29</xdr:col>
      <xdr:colOff>254038</xdr:colOff>
      <xdr:row>32</xdr:row>
      <xdr:rowOff>2998</xdr:rowOff>
    </xdr:to>
    <xdr:sp macro="" textlink="">
      <xdr:nvSpPr>
        <xdr:cNvPr id="75" name="TextBox 74">
          <a:extLst>
            <a:ext uri="{FF2B5EF4-FFF2-40B4-BE49-F238E27FC236}">
              <a16:creationId xmlns:a16="http://schemas.microsoft.com/office/drawing/2014/main" id="{F2DBFC9F-D8DC-4DC7-B76C-4213F783BECC}"/>
            </a:ext>
          </a:extLst>
        </xdr:cNvPr>
        <xdr:cNvSpPr txBox="1"/>
      </xdr:nvSpPr>
      <xdr:spPr>
        <a:xfrm>
          <a:off x="16545598" y="5596078"/>
          <a:ext cx="1386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Department</a:t>
          </a:r>
          <a:endParaRPr lang="en-NG"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3</xdr:row>
      <xdr:rowOff>53340</xdr:rowOff>
    </xdr:from>
    <xdr:to>
      <xdr:col>7</xdr:col>
      <xdr:colOff>15240</xdr:colOff>
      <xdr:row>10</xdr:row>
      <xdr:rowOff>0</xdr:rowOff>
    </xdr:to>
    <xdr:graphicFrame macro="">
      <xdr:nvGraphicFramePr>
        <xdr:cNvPr id="2" name="Chart 1">
          <a:extLst>
            <a:ext uri="{FF2B5EF4-FFF2-40B4-BE49-F238E27FC236}">
              <a16:creationId xmlns:a16="http://schemas.microsoft.com/office/drawing/2014/main" id="{041352AB-C8A7-4862-B87D-EA833AB9B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594360</xdr:colOff>
      <xdr:row>6</xdr:row>
      <xdr:rowOff>175261</xdr:rowOff>
    </xdr:from>
    <xdr:to>
      <xdr:col>9</xdr:col>
      <xdr:colOff>594360</xdr:colOff>
      <xdr:row>12</xdr:row>
      <xdr:rowOff>30480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604EE7F-532A-4E9C-B5C0-B52B0237DF0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288280" y="1272541"/>
              <a:ext cx="1828800" cy="9524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228600</xdr:colOff>
      <xdr:row>21</xdr:row>
      <xdr:rowOff>30480</xdr:rowOff>
    </xdr:from>
    <xdr:to>
      <xdr:col>14</xdr:col>
      <xdr:colOff>533400</xdr:colOff>
      <xdr:row>26</xdr:row>
      <xdr:rowOff>68580</xdr:rowOff>
    </xdr:to>
    <xdr:graphicFrame macro="">
      <xdr:nvGraphicFramePr>
        <xdr:cNvPr id="4" name="Chart 3">
          <a:extLst>
            <a:ext uri="{FF2B5EF4-FFF2-40B4-BE49-F238E27FC236}">
              <a16:creationId xmlns:a16="http://schemas.microsoft.com/office/drawing/2014/main" id="{F6DE64E2-FA7C-4AF7-B246-9B1F25F2F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350520</xdr:colOff>
      <xdr:row>12</xdr:row>
      <xdr:rowOff>68580</xdr:rowOff>
    </xdr:from>
    <xdr:to>
      <xdr:col>5</xdr:col>
      <xdr:colOff>350520</xdr:colOff>
      <xdr:row>25</xdr:row>
      <xdr:rowOff>158115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B46DA06D-E1A7-4B41-9572-3189152666F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606040" y="226314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167640</xdr:colOff>
      <xdr:row>5</xdr:row>
      <xdr:rowOff>114300</xdr:rowOff>
    </xdr:from>
    <xdr:to>
      <xdr:col>9</xdr:col>
      <xdr:colOff>167640</xdr:colOff>
      <xdr:row>19</xdr:row>
      <xdr:rowOff>20955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A578DE19-1BC7-4FD2-85E2-5C49539AF46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044440" y="102870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8</xdr:row>
      <xdr:rowOff>76201</xdr:rowOff>
    </xdr:from>
    <xdr:to>
      <xdr:col>12</xdr:col>
      <xdr:colOff>533400</xdr:colOff>
      <xdr:row>13</xdr:row>
      <xdr:rowOff>129541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95EBE1B-DB74-40BB-8E5E-2C34598D9C9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239000" y="153924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1402080</xdr:colOff>
      <xdr:row>13</xdr:row>
      <xdr:rowOff>15240</xdr:rowOff>
    </xdr:from>
    <xdr:to>
      <xdr:col>4</xdr:col>
      <xdr:colOff>518160</xdr:colOff>
      <xdr:row>22</xdr:row>
      <xdr:rowOff>7620</xdr:rowOff>
    </xdr:to>
    <xdr:graphicFrame macro="">
      <xdr:nvGraphicFramePr>
        <xdr:cNvPr id="4" name="Chart 3">
          <a:extLst>
            <a:ext uri="{FF2B5EF4-FFF2-40B4-BE49-F238E27FC236}">
              <a16:creationId xmlns:a16="http://schemas.microsoft.com/office/drawing/2014/main" id="{5FCB64EF-9E39-45A9-9F9E-6A2F3F7FA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518160</xdr:colOff>
      <xdr:row>6</xdr:row>
      <xdr:rowOff>30480</xdr:rowOff>
    </xdr:from>
    <xdr:to>
      <xdr:col>11</xdr:col>
      <xdr:colOff>213360</xdr:colOff>
      <xdr:row>21</xdr:row>
      <xdr:rowOff>30480</xdr:rowOff>
    </xdr:to>
    <xdr:graphicFrame macro="">
      <xdr:nvGraphicFramePr>
        <xdr:cNvPr id="2" name="Chart 1">
          <a:extLst>
            <a:ext uri="{FF2B5EF4-FFF2-40B4-BE49-F238E27FC236}">
              <a16:creationId xmlns:a16="http://schemas.microsoft.com/office/drawing/2014/main" id="{032DAF89-E5C2-4069-90F2-682E609BF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1051560</xdr:colOff>
      <xdr:row>6</xdr:row>
      <xdr:rowOff>30480</xdr:rowOff>
    </xdr:from>
    <xdr:to>
      <xdr:col>10</xdr:col>
      <xdr:colOff>403860</xdr:colOff>
      <xdr:row>21</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95FFA14-1D14-4036-983F-2E7190FCBF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27760"/>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205740</xdr:colOff>
      <xdr:row>10</xdr:row>
      <xdr:rowOff>144780</xdr:rowOff>
    </xdr:from>
    <xdr:to>
      <xdr:col>9</xdr:col>
      <xdr:colOff>304800</xdr:colOff>
      <xdr:row>21</xdr:row>
      <xdr:rowOff>30480</xdr:rowOff>
    </xdr:to>
    <xdr:graphicFrame macro="">
      <xdr:nvGraphicFramePr>
        <xdr:cNvPr id="2" name="Chart 1">
          <a:extLst>
            <a:ext uri="{FF2B5EF4-FFF2-40B4-BE49-F238E27FC236}">
              <a16:creationId xmlns:a16="http://schemas.microsoft.com/office/drawing/2014/main" id="{F1FD73BB-3D61-46DD-A7E3-3E23B581C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312420</xdr:colOff>
      <xdr:row>11</xdr:row>
      <xdr:rowOff>99060</xdr:rowOff>
    </xdr:from>
    <xdr:to>
      <xdr:col>11</xdr:col>
      <xdr:colOff>441960</xdr:colOff>
      <xdr:row>21</xdr:row>
      <xdr:rowOff>30480</xdr:rowOff>
    </xdr:to>
    <xdr:graphicFrame macro="">
      <xdr:nvGraphicFramePr>
        <xdr:cNvPr id="2" name="Chart 1">
          <a:extLst>
            <a:ext uri="{FF2B5EF4-FFF2-40B4-BE49-F238E27FC236}">
              <a16:creationId xmlns:a16="http://schemas.microsoft.com/office/drawing/2014/main" id="{0264885E-898F-4FF8-8EA4-EAE7F28A6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365760</xdr:colOff>
      <xdr:row>3</xdr:row>
      <xdr:rowOff>60960</xdr:rowOff>
    </xdr:from>
    <xdr:to>
      <xdr:col>18</xdr:col>
      <xdr:colOff>365760</xdr:colOff>
      <xdr:row>16</xdr:row>
      <xdr:rowOff>150495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C7AC15E-F640-49FD-8F35-3E467ACD82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21340" y="60960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2</xdr:row>
      <xdr:rowOff>76200</xdr:rowOff>
    </xdr:from>
    <xdr:to>
      <xdr:col>15</xdr:col>
      <xdr:colOff>228600</xdr:colOff>
      <xdr:row>15</xdr:row>
      <xdr:rowOff>165735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1FB85E61-4CE5-40D5-94D9-8E06B6F2EF6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755380" y="44196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15240</xdr:colOff>
      <xdr:row>6</xdr:row>
      <xdr:rowOff>30480</xdr:rowOff>
    </xdr:from>
    <xdr:to>
      <xdr:col>13</xdr:col>
      <xdr:colOff>320040</xdr:colOff>
      <xdr:row>21</xdr:row>
      <xdr:rowOff>30480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00E72A3-C335-4D48-B59F-B300884D2A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27760"/>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48.570780902781" createdVersion="6" refreshedVersion="6" minRefreshableVersion="3" recordCount="1470" xr:uid="{89644010-CAA9-4AF2-8E35-F0D39230BCBE}">
  <cacheSource type="worksheet">
    <worksheetSource ref="A1:AR1471" sheet="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18980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5ED9B-DA72-4346-B626-62ED4D6CBF0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8C64A8-A1A1-48E1-B9B2-05515B3F578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699074835"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B6E653-E99C-4279-BFA9-EBDC7A6F10FA}"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699074835"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505BE-9A2F-4018-9544-76216EA4F911}"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12CCF-1E6D-49CA-ADC3-33B274F63367}"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D1ADE1-9FD2-40FD-9D99-7CCAFD615623}" name="Attr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A41ED0-25DA-42DE-8FF3-90D16FA14989}" name="Department wise Attr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A48C9C-5016-4BC2-86AC-17B542682586}" name="Attrtion by Age group" cacheId="0"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2957FF-3D60-4ADC-8C86-212EE102EE35}" name="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F8E2466-6B42-4FE0-919A-52CBDA0C6885}" sourceName="Gender">
  <pivotTables>
    <pivotTable tabId="7" name="Gender"/>
    <pivotTable tabId="11" name="Attrtion by Age group"/>
    <pivotTable tabId="9" name="Attrtion by Job"/>
    <pivotTable tabId="10" name="Department wise Attrtion"/>
    <pivotTable tabId="8" name="Education by attrition"/>
    <pivotTable tabId="3" name="PivotTable1"/>
    <pivotTable tabId="12" name="Marital Status"/>
    <pivotTable tabId="5" name="PivotTable3"/>
    <pivotTable tabId="5" name="Rating"/>
  </pivotTables>
  <data>
    <tabular pivotCacheId="19189807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6CBE9B-5345-433B-A532-B51ACC8EE39B}" sourceName="Department">
  <pivotTables>
    <pivotTable tabId="11" name="Attrtion by Age group"/>
    <pivotTable tabId="9" name="Attrtion by Job"/>
    <pivotTable tabId="10" name="Department wise Attrtion"/>
    <pivotTable tabId="8" name="Education by attrition"/>
    <pivotTable tabId="7" name="Gender"/>
    <pivotTable tabId="3" name="PivotTable1"/>
    <pivotTable tabId="12" name="Marital Status"/>
    <pivotTable tabId="5" name="PivotTable3"/>
    <pivotTable tabId="5" name="Rating"/>
  </pivotTables>
  <data>
    <tabular pivotCacheId="19189807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1ABCE5E-A3DB-48E1-B305-D6F56CFA5A8D}" sourceName="Education Field">
  <pivotTables>
    <pivotTable tabId="11" name="Attrtion by Age group"/>
    <pivotTable tabId="9" name="Attrtion by Job"/>
    <pivotTable tabId="10" name="Department wise Attrtion"/>
    <pivotTable tabId="8" name="Education by attrition"/>
    <pivotTable tabId="7" name="Gender"/>
    <pivotTable tabId="3" name="PivotTable1"/>
    <pivotTable tabId="12" name="Marital Status"/>
    <pivotTable tabId="5" name="PivotTable3"/>
    <pivotTable tabId="5" name="Rating"/>
  </pivotTables>
  <data>
    <tabular pivotCacheId="191898078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A91566B-4C3B-4A84-8EFE-7A35D87C3494}"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0EBEC14-097B-4E43-A1F5-E9A1C975E774}" cache="Slicer_Gender2" caption="Gender" columnCount="2" style="Slicer" rowHeight="234950"/>
  <slicer name="Department 1" xr10:uid="{A57BFEC9-36ED-4AB4-AC55-49E6AACC2767}" cache="Slicer_Department" style="Slicer" rowHeight="234950"/>
  <slicer name="Education Field 3" xr10:uid="{DF5EEEB8-4877-417E-BE55-43CBDC7D9B76}" cache="Slicer_Education_Field2" style="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85394A7-51D7-403F-82F3-8F0A6DCE55F0}" cache="Slicer_Gender2" caption="Gender" rowHeight="234950"/>
  <slicer name="Education Field" xr10:uid="{FDCF358D-5D8A-4969-B18C-C96EE9B6989A}"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8B3203E-3E6B-444B-9261-95CF21B1A54E}" cache="Slicer_Gender2" caption="Gender" rowHeight="234950"/>
  <slicer name="Education Field 1" xr10:uid="{5D086958-C150-4551-897E-C4CF50377482}" cache="Slicer_Education_Field2"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46CF27B-A73E-470D-B7F6-9F1E8641DDAF}" cache="Slicer_Department" caption="Department" rowHeight="234950"/>
  <slicer name="Education Field 2" xr10:uid="{01CFCAEB-37CB-4093-B284-56F8D8B03B4F}" cache="Slicer_Education_Field2" caption="Education Fiel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60A31-E16A-42CA-B418-02BBDA140588}">
  <dimension ref="A3:E7"/>
  <sheetViews>
    <sheetView workbookViewId="0">
      <selection activeCell="D16" sqref="D16"/>
    </sheetView>
  </sheetViews>
  <sheetFormatPr defaultRowHeight="14.4"/>
  <cols>
    <col min="1" max="1" width="24.77734375" bestFit="1" customWidth="1"/>
    <col min="2" max="2" width="22.88671875" bestFit="1" customWidth="1"/>
    <col min="3" max="3" width="13.88671875" bestFit="1" customWidth="1"/>
    <col min="4" max="4" width="15" customWidth="1"/>
    <col min="5" max="5" width="11.44140625" customWidth="1"/>
  </cols>
  <sheetData>
    <row r="3" spans="1:5">
      <c r="A3" t="s">
        <v>1554</v>
      </c>
      <c r="B3" t="s">
        <v>1555</v>
      </c>
      <c r="C3" t="s">
        <v>1556</v>
      </c>
    </row>
    <row r="4" spans="1:5">
      <c r="A4" s="3">
        <v>1470</v>
      </c>
      <c r="B4" s="3">
        <v>237</v>
      </c>
      <c r="C4" s="6">
        <v>36.923809523809524</v>
      </c>
    </row>
    <row r="6" spans="1:5">
      <c r="A6" t="s">
        <v>1557</v>
      </c>
      <c r="B6" t="s">
        <v>1558</v>
      </c>
      <c r="C6" t="s">
        <v>1559</v>
      </c>
      <c r="D6" t="s">
        <v>1560</v>
      </c>
      <c r="E6" t="s">
        <v>1561</v>
      </c>
    </row>
    <row r="7" spans="1:5">
      <c r="A7">
        <f>GETPIVOTDATA("Count of Employee Number",$A$3)</f>
        <v>1470</v>
      </c>
      <c r="B7">
        <f>GETPIVOTDATA("Sum of CF_attrition count",$A$3)</f>
        <v>237</v>
      </c>
      <c r="C7" s="6">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4105-CF39-4A72-98E2-AC9AC2262672}">
  <dimension ref="D19:AH30"/>
  <sheetViews>
    <sheetView showGridLines="0" tabSelected="1" topLeftCell="B2" zoomScale="70" zoomScaleNormal="70" workbookViewId="0">
      <selection activeCell="D30" sqref="D30"/>
    </sheetView>
  </sheetViews>
  <sheetFormatPr defaultRowHeight="14.4"/>
  <cols>
    <col min="1" max="16384" width="8.88671875" style="7"/>
  </cols>
  <sheetData>
    <row r="19" spans="4:34">
      <c r="AH19" s="8"/>
    </row>
    <row r="22" spans="4:34">
      <c r="AG22" s="8"/>
    </row>
    <row r="30" spans="4:34">
      <c r="D30" s="7" t="s">
        <v>1570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7962-A8B7-4D59-AABC-EA65A7DE8B8B}">
  <dimension ref="A3:C12"/>
  <sheetViews>
    <sheetView workbookViewId="0">
      <selection activeCell="R12" sqref="R12"/>
    </sheetView>
  </sheetViews>
  <sheetFormatPr defaultRowHeight="14.4"/>
  <cols>
    <col min="1" max="1" width="24" bestFit="1" customWidth="1"/>
  </cols>
  <sheetData>
    <row r="3" spans="1:3">
      <c r="A3" t="s">
        <v>1562</v>
      </c>
    </row>
    <row r="4" spans="1:3">
      <c r="A4" s="5">
        <v>2.6265306122448981</v>
      </c>
    </row>
    <row r="6" spans="1:3">
      <c r="A6" t="s">
        <v>1563</v>
      </c>
      <c r="B6" s="5">
        <f>GETPIVOTDATA("Job Satisfaction",$A$3)</f>
        <v>2.6265306122448981</v>
      </c>
      <c r="C6">
        <f>B6/4</f>
        <v>0.65663265306122454</v>
      </c>
    </row>
    <row r="7" spans="1:3">
      <c r="A7" t="s">
        <v>1564</v>
      </c>
      <c r="B7" s="5">
        <f>4-GETPIVOTDATA("Job Satisfaction",$A$3)</f>
        <v>1.3734693877551019</v>
      </c>
      <c r="C7">
        <f>B7/4</f>
        <v>0.34336734693877546</v>
      </c>
    </row>
    <row r="11" spans="1:3">
      <c r="A11" t="s">
        <v>1562</v>
      </c>
    </row>
    <row r="12" spans="1:3">
      <c r="A12" s="5">
        <v>2.6265306122448981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BB12-1BB0-4BB3-92E7-AC606DD18C33}">
  <dimension ref="A3:C10"/>
  <sheetViews>
    <sheetView workbookViewId="0">
      <selection activeCell="N30" sqref="N30"/>
    </sheetView>
  </sheetViews>
  <sheetFormatPr defaultRowHeight="14.4"/>
  <cols>
    <col min="1" max="1" width="12.5546875" bestFit="1" customWidth="1"/>
    <col min="2" max="2" width="23" bestFit="1" customWidth="1"/>
  </cols>
  <sheetData>
    <row r="3" spans="1:3">
      <c r="A3" s="9" t="s">
        <v>1565</v>
      </c>
      <c r="B3" t="s">
        <v>1567</v>
      </c>
    </row>
    <row r="4" spans="1:3">
      <c r="A4" s="10" t="s">
        <v>51</v>
      </c>
      <c r="B4" s="3">
        <v>588</v>
      </c>
    </row>
    <row r="5" spans="1:3">
      <c r="A5" s="10" t="s">
        <v>62</v>
      </c>
      <c r="B5" s="3">
        <v>882</v>
      </c>
    </row>
    <row r="6" spans="1:3">
      <c r="A6" s="10" t="s">
        <v>1566</v>
      </c>
      <c r="B6" s="3">
        <v>1470</v>
      </c>
    </row>
    <row r="9" spans="1:3">
      <c r="A9" s="10" t="s">
        <v>51</v>
      </c>
      <c r="B9">
        <f>IFERROR(GETPIVOTDATA("Employee Count",$A$3,"Gender","Female"),0)</f>
        <v>588</v>
      </c>
      <c r="C9" s="11">
        <f>IFERROR(B9/(B9+B10),0)</f>
        <v>0.4</v>
      </c>
    </row>
    <row r="10" spans="1:3">
      <c r="A10" s="10" t="s">
        <v>62</v>
      </c>
      <c r="B10">
        <f>IFERROR(GETPIVOTDATA("Employee Count",$A$3,"Gender","Male"),0)</f>
        <v>882</v>
      </c>
      <c r="C10" s="11">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AEAC-4418-4E64-8A66-82EEBCA5E042}">
  <dimension ref="A3:B9"/>
  <sheetViews>
    <sheetView workbookViewId="0">
      <selection activeCell="M18" sqref="M18"/>
    </sheetView>
  </sheetViews>
  <sheetFormatPr defaultRowHeight="14.4"/>
  <cols>
    <col min="1" max="1" width="15.88671875" bestFit="1" customWidth="1"/>
    <col min="2" max="2" width="22.88671875" bestFit="1" customWidth="1"/>
  </cols>
  <sheetData>
    <row r="3" spans="1:2">
      <c r="A3" s="9" t="s">
        <v>1565</v>
      </c>
      <c r="B3" t="s">
        <v>1555</v>
      </c>
    </row>
    <row r="4" spans="1:2">
      <c r="A4" s="10" t="s">
        <v>134</v>
      </c>
      <c r="B4" s="3">
        <v>5</v>
      </c>
    </row>
    <row r="5" spans="1:2">
      <c r="A5" s="10" t="s">
        <v>65</v>
      </c>
      <c r="B5" s="3">
        <v>31</v>
      </c>
    </row>
    <row r="6" spans="1:2">
      <c r="A6" s="10" t="s">
        <v>55</v>
      </c>
      <c r="B6" s="3">
        <v>44</v>
      </c>
    </row>
    <row r="7" spans="1:2">
      <c r="A7" s="10" t="s">
        <v>71</v>
      </c>
      <c r="B7" s="3">
        <v>58</v>
      </c>
    </row>
    <row r="8" spans="1:2">
      <c r="A8" s="10" t="s">
        <v>77</v>
      </c>
      <c r="B8" s="3">
        <v>99</v>
      </c>
    </row>
    <row r="9" spans="1:2">
      <c r="A9" s="10" t="s">
        <v>1566</v>
      </c>
      <c r="B9" s="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992C-AB07-436C-8C11-AE3FA03EB148}">
  <dimension ref="A3:E13"/>
  <sheetViews>
    <sheetView workbookViewId="0">
      <selection activeCell="D17" sqref="D17"/>
    </sheetView>
  </sheetViews>
  <sheetFormatPr defaultRowHeight="14.4"/>
  <cols>
    <col min="1" max="2" width="22.88671875" bestFit="1" customWidth="1"/>
    <col min="4" max="4" width="22.77734375" customWidth="1"/>
  </cols>
  <sheetData>
    <row r="3" spans="1:5">
      <c r="A3" s="9" t="s">
        <v>1565</v>
      </c>
      <c r="B3" t="s">
        <v>1555</v>
      </c>
      <c r="D3" t="s">
        <v>9</v>
      </c>
      <c r="E3" t="s">
        <v>1568</v>
      </c>
    </row>
    <row r="4" spans="1:5">
      <c r="A4" s="10" t="s">
        <v>83</v>
      </c>
      <c r="B4" s="3">
        <v>9</v>
      </c>
      <c r="D4" t="str">
        <f>A4</f>
        <v>Healthcare Representative</v>
      </c>
      <c r="E4">
        <f>GETPIVOTDATA("CF_attrition count",$A$3,"Job Role",A4)</f>
        <v>9</v>
      </c>
    </row>
    <row r="5" spans="1:5">
      <c r="A5" s="10" t="s">
        <v>163</v>
      </c>
      <c r="B5" s="3">
        <v>12</v>
      </c>
      <c r="D5" t="str">
        <f t="shared" ref="D5:D12" si="0">A5</f>
        <v>Human Resources</v>
      </c>
      <c r="E5">
        <f t="shared" ref="E5:E12" si="1">GETPIVOTDATA("CF_attrition count",$A$3,"Job Role",A5)</f>
        <v>12</v>
      </c>
    </row>
    <row r="6" spans="1:5">
      <c r="A6" s="10" t="s">
        <v>68</v>
      </c>
      <c r="B6" s="3">
        <v>62</v>
      </c>
      <c r="D6" t="str">
        <f t="shared" si="0"/>
        <v>Laboratory Technician</v>
      </c>
      <c r="E6">
        <f t="shared" si="1"/>
        <v>62</v>
      </c>
    </row>
    <row r="7" spans="1:5">
      <c r="A7" s="10" t="s">
        <v>95</v>
      </c>
      <c r="B7" s="3">
        <v>5</v>
      </c>
      <c r="D7" t="str">
        <f t="shared" si="0"/>
        <v>Manager</v>
      </c>
      <c r="E7">
        <f t="shared" si="1"/>
        <v>5</v>
      </c>
    </row>
    <row r="8" spans="1:5">
      <c r="A8" s="10" t="s">
        <v>81</v>
      </c>
      <c r="B8" s="3">
        <v>10</v>
      </c>
      <c r="D8" t="str">
        <f t="shared" si="0"/>
        <v>Manufacturing Director</v>
      </c>
      <c r="E8">
        <f t="shared" si="1"/>
        <v>10</v>
      </c>
    </row>
    <row r="9" spans="1:5">
      <c r="A9" s="10" t="s">
        <v>101</v>
      </c>
      <c r="B9" s="3">
        <v>2</v>
      </c>
      <c r="D9" t="str">
        <f t="shared" si="0"/>
        <v>Research Director</v>
      </c>
      <c r="E9">
        <f t="shared" si="1"/>
        <v>2</v>
      </c>
    </row>
    <row r="10" spans="1:5">
      <c r="A10" s="10" t="s">
        <v>63</v>
      </c>
      <c r="B10" s="3">
        <v>47</v>
      </c>
      <c r="D10" t="str">
        <f t="shared" si="0"/>
        <v>Research Scientist</v>
      </c>
      <c r="E10">
        <f t="shared" si="1"/>
        <v>47</v>
      </c>
    </row>
    <row r="11" spans="1:5">
      <c r="A11" s="10" t="s">
        <v>52</v>
      </c>
      <c r="B11" s="3">
        <v>57</v>
      </c>
      <c r="D11" t="str">
        <f t="shared" si="0"/>
        <v>Sales Executive</v>
      </c>
      <c r="E11">
        <f t="shared" si="1"/>
        <v>57</v>
      </c>
    </row>
    <row r="12" spans="1:5">
      <c r="A12" s="10" t="s">
        <v>99</v>
      </c>
      <c r="B12" s="3">
        <v>33</v>
      </c>
      <c r="D12" t="str">
        <f t="shared" si="0"/>
        <v>Sales Representative</v>
      </c>
      <c r="E12">
        <f t="shared" si="1"/>
        <v>33</v>
      </c>
    </row>
    <row r="13" spans="1:5">
      <c r="A13" s="10" t="s">
        <v>1566</v>
      </c>
      <c r="B13" s="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634C6-EB8A-45DD-A5A9-F2C96A924B95}">
  <dimension ref="A3:B7"/>
  <sheetViews>
    <sheetView workbookViewId="0">
      <selection activeCell="B6" sqref="B6"/>
    </sheetView>
  </sheetViews>
  <sheetFormatPr defaultRowHeight="14.4"/>
  <cols>
    <col min="1" max="1" width="12.5546875" bestFit="1" customWidth="1"/>
    <col min="2" max="2" width="22.88671875" bestFit="1" customWidth="1"/>
  </cols>
  <sheetData>
    <row r="3" spans="1:2">
      <c r="A3" s="9" t="s">
        <v>1565</v>
      </c>
      <c r="B3" t="s">
        <v>1555</v>
      </c>
    </row>
    <row r="4" spans="1:2">
      <c r="A4" s="10" t="s">
        <v>161</v>
      </c>
      <c r="B4" s="12">
        <v>5.0632911392405063E-2</v>
      </c>
    </row>
    <row r="5" spans="1:2">
      <c r="A5" s="10" t="s">
        <v>60</v>
      </c>
      <c r="B5" s="12">
        <v>0.56118143459915615</v>
      </c>
    </row>
    <row r="6" spans="1:2">
      <c r="A6" s="10" t="s">
        <v>48</v>
      </c>
      <c r="B6" s="12">
        <v>0.3881856540084388</v>
      </c>
    </row>
    <row r="7" spans="1:2">
      <c r="A7" s="10" t="s">
        <v>1566</v>
      </c>
      <c r="B7" s="1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0695-D59E-44FF-99C3-92FD900A1639}">
  <dimension ref="A3:B9"/>
  <sheetViews>
    <sheetView workbookViewId="0">
      <selection activeCell="B6" sqref="B6"/>
    </sheetView>
  </sheetViews>
  <sheetFormatPr defaultRowHeight="14.4"/>
  <cols>
    <col min="1" max="1" width="12.5546875" bestFit="1" customWidth="1"/>
    <col min="2" max="2" width="22.88671875" bestFit="1" customWidth="1"/>
  </cols>
  <sheetData>
    <row r="3" spans="1:2">
      <c r="A3" s="9" t="s">
        <v>1565</v>
      </c>
      <c r="B3" t="s">
        <v>1555</v>
      </c>
    </row>
    <row r="4" spans="1:2">
      <c r="A4" s="10" t="s">
        <v>69</v>
      </c>
      <c r="B4" s="3">
        <v>112</v>
      </c>
    </row>
    <row r="5" spans="1:2">
      <c r="A5" s="10" t="s">
        <v>46</v>
      </c>
      <c r="B5" s="3">
        <v>51</v>
      </c>
    </row>
    <row r="6" spans="1:2">
      <c r="A6" s="10" t="s">
        <v>92</v>
      </c>
      <c r="B6" s="3">
        <v>38</v>
      </c>
    </row>
    <row r="7" spans="1:2">
      <c r="A7" s="10" t="s">
        <v>58</v>
      </c>
      <c r="B7" s="3">
        <v>25</v>
      </c>
    </row>
    <row r="8" spans="1:2">
      <c r="A8" s="10" t="s">
        <v>75</v>
      </c>
      <c r="B8" s="3">
        <v>11</v>
      </c>
    </row>
    <row r="9" spans="1:2">
      <c r="A9" s="10" t="s">
        <v>1566</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DB35-ABE6-40F3-B93D-E48AFA4D2A79}">
  <dimension ref="A3:E7"/>
  <sheetViews>
    <sheetView workbookViewId="0">
      <selection activeCell="B28" sqref="B28"/>
    </sheetView>
  </sheetViews>
  <sheetFormatPr defaultRowHeight="14.4"/>
  <cols>
    <col min="1" max="1" width="12.5546875" bestFit="1" customWidth="1"/>
    <col min="2" max="2" width="15.88671875" bestFit="1" customWidth="1"/>
    <col min="4" max="4" width="14.6640625" customWidth="1"/>
  </cols>
  <sheetData>
    <row r="3" spans="1:5">
      <c r="A3" s="9" t="s">
        <v>1565</v>
      </c>
      <c r="B3" t="s">
        <v>1569</v>
      </c>
      <c r="D3" t="s">
        <v>10</v>
      </c>
      <c r="E3" t="s">
        <v>1568</v>
      </c>
    </row>
    <row r="4" spans="1:5">
      <c r="A4" s="10" t="s">
        <v>79</v>
      </c>
      <c r="B4" s="3">
        <v>327</v>
      </c>
      <c r="D4" t="str">
        <f>A4</f>
        <v>Divorced</v>
      </c>
      <c r="E4">
        <f>GETPIVOTDATA("Attrition",$A$3,"Marital Status",A4)</f>
        <v>327</v>
      </c>
    </row>
    <row r="5" spans="1:5">
      <c r="A5" s="10" t="s">
        <v>53</v>
      </c>
      <c r="B5" s="3">
        <v>470</v>
      </c>
      <c r="D5" t="str">
        <f>A5</f>
        <v>Single</v>
      </c>
      <c r="E5">
        <f>GETPIVOTDATA("Attrition",$A$3,"Marital Status",A5)</f>
        <v>470</v>
      </c>
    </row>
    <row r="6" spans="1:5">
      <c r="A6" s="10" t="s">
        <v>64</v>
      </c>
      <c r="B6" s="3">
        <v>673</v>
      </c>
      <c r="D6" t="str">
        <f>A6</f>
        <v>Married</v>
      </c>
      <c r="E6">
        <f>GETPIVOTDATA("Attrition",$A$3,"Marital Status",A6)</f>
        <v>673</v>
      </c>
    </row>
    <row r="7" spans="1:5">
      <c r="A7" s="10" t="s">
        <v>1566</v>
      </c>
      <c r="B7" s="3">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5C7C-ED68-4886-AAFE-78AF4DBDD73F}">
  <dimension ref="A1:AR1471"/>
  <sheetViews>
    <sheetView topLeftCell="A80" workbookViewId="0">
      <selection activeCell="A4" sqref="A4"/>
    </sheetView>
  </sheetViews>
  <sheetFormatPr defaultRowHeight="15.6"/>
  <cols>
    <col min="1" max="16384" width="8.88671875" style="1"/>
  </cols>
  <sheetData>
    <row r="1" spans="1:44"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Rating</vt:lpstr>
      <vt:lpstr>Gender</vt:lpstr>
      <vt:lpstr>Education by attrition</vt:lpstr>
      <vt:lpstr>Attrtion by Job</vt:lpstr>
      <vt:lpstr>Department wise Attrtion</vt:lpstr>
      <vt:lpstr>Attrtion by Age group</vt:lpstr>
      <vt:lpstr>Marital 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Lawal</dc:creator>
  <cp:lastModifiedBy>Lawal</cp:lastModifiedBy>
  <dcterms:created xsi:type="dcterms:W3CDTF">2026-08-14T12:38:45Z</dcterms:created>
  <dcterms:modified xsi:type="dcterms:W3CDTF">2026-08-19T12:02:43Z</dcterms:modified>
</cp:coreProperties>
</file>